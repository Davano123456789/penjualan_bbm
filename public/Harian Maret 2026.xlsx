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130" activeTab="8"/>
  </bookViews>
  <sheets>
    <sheet name="Harian" sheetId="1" r:id="rId1"/>
    <sheet name="Stok" sheetId="2" r:id="rId2"/>
    <sheet name="Kas" sheetId="3" r:id="rId3"/>
    <sheet name="Pengeluaran" sheetId="4" r:id="rId4"/>
    <sheet name="losis" sheetId="7" r:id="rId5"/>
    <sheet name="TOT Akhir" sheetId="8" r:id="rId6"/>
    <sheet name="EDC" sheetId="5" r:id="rId7"/>
    <sheet name="Kesimpulan" sheetId="9" r:id="rId8"/>
    <sheet name="Neraca" sheetId="10" r:id="rId9"/>
    <sheet name="Gaji" sheetId="11" r:id="rId10"/>
    <sheet name="Voucher" sheetId="6" r:id="rId11"/>
  </sheets>
  <externalReferences>
    <externalReference r:id="rId12"/>
  </externalReferences>
  <definedNames>
    <definedName name="_xlnm.Print_Area" localSheetId="0">Harian!$A$1:$J$1776</definedName>
    <definedName name="_xlnm.Print_Area" localSheetId="1">Stok!$A$1:$K$69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<sst xmlns="http://schemas.openxmlformats.org/spreadsheetml/2006/main" count="1696" uniqueCount="231">
  <si>
    <t>PT. LEADY GAS LINDO</t>
  </si>
  <si>
    <t>PERTASHOP 3P.34.117</t>
  </si>
  <si>
    <t>Bantarsari, Bungursari Kota Tasikmalaya</t>
  </si>
  <si>
    <t>Tanggal :</t>
  </si>
  <si>
    <t>1 Maret</t>
  </si>
  <si>
    <t>Jam Masuk :</t>
  </si>
  <si>
    <t>Oprator 1 :</t>
  </si>
  <si>
    <t>Argi</t>
  </si>
  <si>
    <t>Jam Keluar :</t>
  </si>
  <si>
    <t>Oprator2 :</t>
  </si>
  <si>
    <t>Rafandi</t>
  </si>
  <si>
    <t>Mesin</t>
  </si>
  <si>
    <t>Prodak</t>
  </si>
  <si>
    <t>Totalisator awal</t>
  </si>
  <si>
    <t>Totalisator akhir</t>
  </si>
  <si>
    <t>Terjual</t>
  </si>
  <si>
    <t>Total</t>
  </si>
  <si>
    <t>Harga</t>
  </si>
  <si>
    <t>Jumlah</t>
  </si>
  <si>
    <t>Pertamax 1</t>
  </si>
  <si>
    <t>Pertamax 2</t>
  </si>
  <si>
    <t>Dex 1</t>
  </si>
  <si>
    <t>Dex 2</t>
  </si>
  <si>
    <t>Penjualan</t>
  </si>
  <si>
    <t>Lembar</t>
  </si>
  <si>
    <t>Titipan</t>
  </si>
  <si>
    <t>Koin</t>
  </si>
  <si>
    <t>Pengeluaran</t>
  </si>
  <si>
    <t>SISA</t>
  </si>
  <si>
    <t>Pertamax</t>
  </si>
  <si>
    <t>Pendapatan</t>
  </si>
  <si>
    <t>dex</t>
  </si>
  <si>
    <t>2 Maret</t>
  </si>
  <si>
    <t>Anisa</t>
  </si>
  <si>
    <t>3 Maret</t>
  </si>
  <si>
    <t xml:space="preserve"> </t>
  </si>
  <si>
    <t>4 Maret</t>
  </si>
  <si>
    <t>5 Maret</t>
  </si>
  <si>
    <t>6 maret</t>
  </si>
  <si>
    <t>7 Maret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</si>
  <si>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</si>
  <si>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 Maret</t>
  </si>
  <si>
    <t>9 Maret</t>
  </si>
  <si>
    <t>10 Maret</t>
  </si>
  <si>
    <t>11 Maret</t>
  </si>
  <si>
    <t>12 Maret</t>
  </si>
  <si>
    <t>13 Maret</t>
  </si>
  <si>
    <t>14 Maret</t>
  </si>
  <si>
    <t>15 Maret</t>
  </si>
  <si>
    <t>16 Maret</t>
  </si>
  <si>
    <t xml:space="preserve">         </t>
  </si>
  <si>
    <t>17 Maret</t>
  </si>
  <si>
    <t>18 Maret</t>
  </si>
  <si>
    <t>19 Maret</t>
  </si>
  <si>
    <t>20 Maret</t>
  </si>
  <si>
    <t>21 maret</t>
  </si>
  <si>
    <t>22 Maret</t>
  </si>
  <si>
    <t>23 Maret</t>
  </si>
  <si>
    <t>24 Maret</t>
  </si>
  <si>
    <t>25 Maret</t>
  </si>
  <si>
    <t>26 Maret</t>
  </si>
  <si>
    <t>27 maret</t>
  </si>
  <si>
    <t>Tanggal</t>
  </si>
  <si>
    <t>Stok Awal</t>
  </si>
  <si>
    <t>Kiriman</t>
  </si>
  <si>
    <t>JML Stok Teoritis</t>
  </si>
  <si>
    <t>Stok Akhir</t>
  </si>
  <si>
    <t>Selisih</t>
  </si>
  <si>
    <t>Jadwal</t>
  </si>
  <si>
    <t>Nama Supir</t>
  </si>
  <si>
    <t>Dex</t>
  </si>
  <si>
    <t>Kas Lemari</t>
  </si>
  <si>
    <t>Arus Kas</t>
  </si>
  <si>
    <t>Ket</t>
  </si>
  <si>
    <t>Debit</t>
  </si>
  <si>
    <t>Kredit</t>
  </si>
  <si>
    <t>jumlah</t>
  </si>
  <si>
    <t>Sisa kas</t>
  </si>
  <si>
    <t>Qris</t>
  </si>
  <si>
    <t>Setoran</t>
  </si>
  <si>
    <t>Proposal</t>
  </si>
  <si>
    <t>Sampah</t>
  </si>
  <si>
    <t>AMT</t>
  </si>
  <si>
    <t>Stor Bank</t>
  </si>
  <si>
    <t>Cam Switch</t>
  </si>
  <si>
    <t>Curah</t>
  </si>
  <si>
    <t>TF</t>
  </si>
  <si>
    <t>Voucher</t>
  </si>
  <si>
    <t>TF Febi</t>
  </si>
  <si>
    <t>curah</t>
  </si>
  <si>
    <t>Galon</t>
  </si>
  <si>
    <t>Pompa</t>
  </si>
  <si>
    <t>Margin Februari</t>
  </si>
  <si>
    <t>TF Mang Ajo</t>
  </si>
  <si>
    <t>Pengeluaran oprasional
Pertashop PT Leady Gas Lindo
3P.46.117
Maret 2026</t>
  </si>
  <si>
    <t>Oprasional</t>
  </si>
  <si>
    <t>Cam switch</t>
  </si>
  <si>
    <t>Indihome</t>
  </si>
  <si>
    <t>Listrik</t>
  </si>
  <si>
    <t>pompa</t>
  </si>
  <si>
    <t>REKAPITULASI LOSIS
Pertashop PT Leady Gas Lindo
3P.46.117
Maret 2025</t>
  </si>
  <si>
    <t>PERTAMAX</t>
  </si>
  <si>
    <t>Stok Awal Per Maret 2026</t>
  </si>
  <si>
    <t>=</t>
  </si>
  <si>
    <t>Do Penebusan Per Maret 2026</t>
  </si>
  <si>
    <t>Jumlah Stok Per Maret 2026 Do penebusan</t>
  </si>
  <si>
    <t>Total Penjualan Per Maret 2026</t>
  </si>
  <si>
    <t>Stok Akhir Per Maret 2026</t>
  </si>
  <si>
    <t>Jumlah penjualan Per Maret 2026+ stok akhir Per Maret 2026</t>
  </si>
  <si>
    <t>Losis</t>
  </si>
  <si>
    <t>Persentase</t>
  </si>
  <si>
    <t>DEX</t>
  </si>
  <si>
    <t>Totalisator Akhir Bulan
Pertashop PT Leady Gas Lindo
3P.46.117
Maret 2025</t>
  </si>
  <si>
    <t>Produk</t>
  </si>
  <si>
    <t>Nozzel</t>
  </si>
  <si>
    <t>Tera bbm</t>
  </si>
  <si>
    <t>liter</t>
  </si>
  <si>
    <t>Jumlah Pendapatan</t>
  </si>
  <si>
    <t>Total Pendapatan Laba</t>
  </si>
  <si>
    <t>x</t>
  </si>
  <si>
    <t>Gaji Karyawan</t>
  </si>
  <si>
    <t>Kas</t>
  </si>
  <si>
    <t>PPH</t>
  </si>
  <si>
    <t>Admin EDC</t>
  </si>
  <si>
    <t>Lossis</t>
  </si>
  <si>
    <t>X</t>
  </si>
  <si>
    <t>Jumlah Total Pengeluaran</t>
  </si>
  <si>
    <t>Laba Bersih</t>
  </si>
  <si>
    <t>PERTASHOP 3P.46.117</t>
  </si>
  <si>
    <t>QRIS</t>
  </si>
  <si>
    <t>Keterangan</t>
  </si>
  <si>
    <t>Potongan</t>
  </si>
  <si>
    <t>Jumlah Masuk</t>
  </si>
  <si>
    <t>Jumlah Potongan</t>
  </si>
  <si>
    <t>Laporan Penerimaan dan penjualan BBM</t>
  </si>
  <si>
    <t>Pertashop PT LEADY GAS LINDO</t>
  </si>
  <si>
    <t>3P.46.117</t>
  </si>
  <si>
    <t>Maret 2026</t>
  </si>
  <si>
    <t>Penerimaan BBM</t>
  </si>
  <si>
    <t>Dispenser</t>
  </si>
  <si>
    <t>Totalisator Awal</t>
  </si>
  <si>
    <t>Totalisator Akhir</t>
  </si>
  <si>
    <t>Total Penjualan</t>
  </si>
  <si>
    <t>Nozzel 1</t>
  </si>
  <si>
    <t>Nozzel 2</t>
  </si>
  <si>
    <t>JUMLAH</t>
  </si>
  <si>
    <t>NERACA PERDAGANGAN
Pertashop PT Leady Gas Lindo
3P.46.117
Maret 2026</t>
  </si>
  <si>
    <t>AKTIVA</t>
  </si>
  <si>
    <t>Kas SPBU</t>
  </si>
  <si>
    <t>:</t>
  </si>
  <si>
    <t>....................................................................</t>
  </si>
  <si>
    <t>Tabanas Bank</t>
  </si>
  <si>
    <t>Inventaris</t>
  </si>
  <si>
    <t>STOK BARANG DAGANGAN</t>
  </si>
  <si>
    <r>
      <rPr>
        <b/>
        <sz val="11"/>
        <color theme="1"/>
        <rFont val="Calibri"/>
        <charset val="134"/>
      </rPr>
      <t>(  )</t>
    </r>
    <r>
      <rPr>
        <sz val="11"/>
        <color theme="1"/>
        <rFont val="Calibri"/>
        <charset val="134"/>
      </rPr>
      <t xml:space="preserve"> Cm dilihat pada tabulasi</t>
    </r>
  </si>
  <si>
    <t>DO BBM</t>
  </si>
  <si>
    <t>.................................................</t>
  </si>
  <si>
    <t>FASIVA</t>
  </si>
  <si>
    <t>Utang jangka Pendek</t>
  </si>
  <si>
    <t>Utang Jangka Panjang</t>
  </si>
  <si>
    <t>Modal Oli</t>
  </si>
  <si>
    <t>Modal Gas</t>
  </si>
  <si>
    <t>Jumlah Harta Lancar</t>
  </si>
  <si>
    <t>catatan neraca modal</t>
  </si>
  <si>
    <t>Perputaran nerca modal</t>
  </si>
  <si>
    <t>Gas</t>
  </si>
  <si>
    <t>Oli</t>
  </si>
  <si>
    <t>Perputaran Modal</t>
  </si>
  <si>
    <t>Gaji Karyawan
Pertashop PT Leady Gas Lindo
3P.46.117
Maret 2025</t>
  </si>
  <si>
    <t>Nama</t>
  </si>
  <si>
    <t>Besaran Gaji</t>
  </si>
  <si>
    <t>Lembur</t>
  </si>
  <si>
    <t>Kas Bon</t>
  </si>
  <si>
    <t>Sisa</t>
  </si>
  <si>
    <t>Tanda Tangan</t>
  </si>
  <si>
    <t>Barry</t>
  </si>
  <si>
    <t>Zeny</t>
  </si>
  <si>
    <t>anisa</t>
  </si>
  <si>
    <t>PX</t>
  </si>
  <si>
    <t>Yuda</t>
  </si>
  <si>
    <t>Aep</t>
  </si>
  <si>
    <t>Dian</t>
  </si>
  <si>
    <t>zeny</t>
  </si>
  <si>
    <t>taufik</t>
  </si>
  <si>
    <t>Pak nanag</t>
  </si>
  <si>
    <t>sandi</t>
  </si>
  <si>
    <t>mg dedi</t>
  </si>
  <si>
    <t>mg ihsak</t>
  </si>
  <si>
    <t>yuyun pln</t>
  </si>
  <si>
    <t>teh vera material</t>
  </si>
  <si>
    <t>teh ucu</t>
  </si>
  <si>
    <t>cibunigeulis</t>
  </si>
  <si>
    <t>neng cici</t>
  </si>
  <si>
    <t>mg toyo</t>
  </si>
  <si>
    <t>tesa teh yuni</t>
  </si>
  <si>
    <t>yaya</t>
  </si>
  <si>
    <t>dee sely</t>
  </si>
  <si>
    <t>mang eeng</t>
  </si>
  <si>
    <t>rikeu</t>
  </si>
  <si>
    <t>pa uus</t>
  </si>
  <si>
    <t>asep sudrajat</t>
  </si>
  <si>
    <t>mang ujang</t>
  </si>
  <si>
    <t>pa atang</t>
  </si>
  <si>
    <t>pa rohadis</t>
  </si>
  <si>
    <t>a candra</t>
  </si>
  <si>
    <t>ali</t>
  </si>
  <si>
    <t>pa heru</t>
  </si>
  <si>
    <t>pa rt apo</t>
  </si>
  <si>
    <t>pa ayo</t>
  </si>
  <si>
    <t>pa ustd h ujang</t>
  </si>
  <si>
    <t>bi elis</t>
  </si>
  <si>
    <t>dede maryono</t>
  </si>
  <si>
    <t>lisna</t>
  </si>
  <si>
    <t>mg oko</t>
  </si>
  <si>
    <t>pa ajengan enung</t>
  </si>
  <si>
    <t>tukang jus</t>
  </si>
  <si>
    <t>baso edi</t>
  </si>
  <si>
    <t>mg lili</t>
  </si>
  <si>
    <t>pa rt 04</t>
  </si>
  <si>
    <t>ruko counter hp</t>
  </si>
  <si>
    <t>mg engkom</t>
  </si>
  <si>
    <t>rahmat</t>
  </si>
  <si>
    <t>pa enang</t>
  </si>
  <si>
    <t>kelurahan</t>
  </si>
  <si>
    <t>jang wandi</t>
  </si>
  <si>
    <t>teh eni leuwidahu</t>
  </si>
  <si>
    <t>misbah</t>
  </si>
  <si>
    <t>tedi</t>
  </si>
  <si>
    <t>amir</t>
  </si>
  <si>
    <t>abah</t>
  </si>
  <si>
    <t>jajat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</si>
</sst>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_-&quot;Rp&quot;* #,##0_-;\-&quot;Rp&quot;* #,##0_-;_-&quot;Rp&quot;* &quot;-&quot;_-;_-@_-"/>
    <numFmt numFmtId="181" formatCode="&quot;Rp&quot;#,##0"/>
    <numFmt numFmtId="182" formatCode="_-&quot;Rp&quot;* #,##0.00_-;\-&quot;Rp&quot;* #,##0.00_-;_-&quot;Rp&quot;* &quot;-&quot;??.00_-;_-@_-"/>
    <numFmt numFmtId="183" formatCode="0_);[Red]\(0\)"/>
    <numFmt numFmtId="184" formatCode="[$-809]dd\ mmmm\ yyyy;@"/>
    <numFmt numFmtId="185" formatCode="0.0"/>
    <numFmt numFmtId="186" formatCode="_ &quot;Rp&quot;\ * #,##0.00_ ;_ &quot;Rp&quot;\ * \-#,##0.00_ ;_ &quot;Rp&quot;\ * &quot;-&quot;??_ ;_ @_ "/>
    <numFmt numFmtId="187" formatCode="dd/mm/yyyy;@"/>
    <numFmt numFmtId="188" formatCode="h:mm"/>
  </numFmts>
  <fonts count="48">
    <font>
      <sz val="11"/>
      <color theme="1"/>
      <name val="Calibri"/>
      <charset val="1"/>
      <scheme val="minor"/>
    </font>
    <font>
      <b/>
      <sz val="18"/>
      <color theme="1"/>
      <name val="Calibri"/>
      <charset val="134"/>
    </font>
    <font>
      <b/>
      <sz val="14"/>
      <color theme="1"/>
      <name val="Calibri"/>
      <charset val="134"/>
    </font>
    <font>
      <b/>
      <sz val="14"/>
      <color theme="1"/>
      <name val="Calibri"/>
      <charset val="1"/>
      <scheme val="minor"/>
    </font>
    <font>
      <sz val="14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"/>
    </font>
    <font>
      <b/>
      <i/>
      <sz val="11"/>
      <color theme="1"/>
      <name val="Calibri"/>
      <charset val="134"/>
    </font>
    <font>
      <sz val="11"/>
      <color theme="1"/>
      <name val="Calibri"/>
      <charset val="134"/>
    </font>
    <font>
      <i/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8"/>
      <color theme="1"/>
      <name val="Calibri"/>
      <charset val="134"/>
    </font>
    <font>
      <sz val="12"/>
      <color theme="1"/>
      <name val="Calibri"/>
      <charset val="1"/>
    </font>
    <font>
      <b/>
      <i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2"/>
      <color theme="1"/>
      <name val="Calibri"/>
      <charset val="1"/>
      <scheme val="minor"/>
    </font>
    <font>
      <sz val="14"/>
      <color theme="1"/>
      <name val="Arial Narrow"/>
      <charset val="134"/>
    </font>
    <font>
      <b/>
      <sz val="12"/>
      <color theme="1"/>
      <name val="Agency FB"/>
      <charset val="134"/>
    </font>
    <font>
      <b/>
      <sz val="14"/>
      <color theme="1"/>
      <name val="Arial Narrow"/>
      <charset val="134"/>
    </font>
    <font>
      <sz val="12"/>
      <color theme="1"/>
      <name val="Agency FB"/>
      <charset val="134"/>
    </font>
    <font>
      <b/>
      <sz val="12"/>
      <color rgb="FFFF0000"/>
      <name val="Agency FB"/>
      <charset val="134"/>
    </font>
    <font>
      <b/>
      <sz val="12"/>
      <color theme="1"/>
      <name val="Arial Unicode MS"/>
      <charset val="134"/>
    </font>
    <font>
      <b/>
      <sz val="11"/>
      <color theme="1"/>
      <name val="Agency FB"/>
      <charset val="134"/>
    </font>
    <font>
      <sz val="11"/>
      <color theme="1"/>
      <name val="Agency FB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theme="6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2" borderId="1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3" borderId="18" applyNumberFormat="0" applyAlignment="0" applyProtection="0">
      <alignment vertical="center"/>
    </xf>
    <xf numFmtId="0" fontId="38" fillId="14" borderId="19" applyNumberFormat="0" applyAlignment="0" applyProtection="0">
      <alignment vertical="center"/>
    </xf>
    <xf numFmtId="0" fontId="39" fillId="14" borderId="18" applyNumberFormat="0" applyAlignment="0" applyProtection="0">
      <alignment vertical="center"/>
    </xf>
    <xf numFmtId="0" fontId="40" fillId="15" borderId="20" applyNumberFormat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</cellStyleXfs>
  <cellXfs count="241">
    <xf numFmtId="0" fontId="0" fillId="0" borderId="0" xfId="0"/>
    <xf numFmtId="179" fontId="0" fillId="0" borderId="0" xfId="0" applyNumberFormat="1"/>
    <xf numFmtId="180" fontId="0" fillId="0" borderId="0" xfId="0" applyNumberFormat="1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77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7" fontId="8" fillId="0" borderId="2" xfId="0" applyNumberFormat="1" applyFont="1" applyBorder="1" applyAlignment="1">
      <alignment horizontal="left" vertical="center"/>
    </xf>
    <xf numFmtId="177" fontId="10" fillId="0" borderId="0" xfId="0" applyNumberFormat="1" applyFont="1" applyAlignment="1">
      <alignment horizontal="left" vertical="center"/>
    </xf>
    <xf numFmtId="0" fontId="10" fillId="0" borderId="0" xfId="0" applyFont="1"/>
    <xf numFmtId="177" fontId="10" fillId="0" borderId="3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177" fontId="6" fillId="0" borderId="2" xfId="2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8" fillId="0" borderId="0" xfId="0" applyNumberFormat="1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82" fontId="8" fillId="0" borderId="0" xfId="0" applyNumberFormat="1" applyFont="1" applyBorder="1" applyAlignment="1">
      <alignment horizontal="left" vertical="center"/>
    </xf>
    <xf numFmtId="181" fontId="10" fillId="0" borderId="3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82" fontId="10" fillId="0" borderId="0" xfId="0" applyNumberFormat="1" applyFont="1" applyBorder="1" applyAlignment="1">
      <alignment horizontal="left" vertical="center"/>
    </xf>
    <xf numFmtId="0" fontId="6" fillId="0" borderId="0" xfId="0" applyFont="1" applyBorder="1"/>
    <xf numFmtId="182" fontId="6" fillId="0" borderId="0" xfId="0" applyNumberFormat="1" applyFont="1" applyBorder="1"/>
    <xf numFmtId="181" fontId="8" fillId="0" borderId="0" xfId="0" applyNumberFormat="1" applyFont="1" applyAlignment="1">
      <alignment horizontal="left"/>
    </xf>
    <xf numFmtId="181" fontId="8" fillId="0" borderId="0" xfId="0" applyNumberFormat="1" applyFont="1"/>
    <xf numFmtId="181" fontId="8" fillId="0" borderId="2" xfId="0" applyNumberFormat="1" applyFont="1" applyBorder="1"/>
    <xf numFmtId="181" fontId="1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83" fontId="11" fillId="2" borderId="1" xfId="0" applyNumberFormat="1" applyFont="1" applyFill="1" applyBorder="1" applyAlignment="1">
      <alignment horizontal="center" vertical="center"/>
    </xf>
    <xf numFmtId="183" fontId="11" fillId="0" borderId="1" xfId="0" applyNumberFormat="1" applyFont="1" applyBorder="1" applyAlignment="1">
      <alignment horizontal="center" vertical="center"/>
    </xf>
    <xf numFmtId="183" fontId="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83" fontId="11" fillId="3" borderId="1" xfId="0" applyNumberFormat="1" applyFont="1" applyFill="1" applyBorder="1" applyAlignment="1">
      <alignment horizontal="center" vertical="center"/>
    </xf>
    <xf numFmtId="183" fontId="11" fillId="0" borderId="1" xfId="0" applyNumberFormat="1" applyFont="1" applyBorder="1" applyAlignment="1">
      <alignment vertical="center"/>
    </xf>
    <xf numFmtId="183" fontId="11" fillId="0" borderId="0" xfId="0" applyNumberFormat="1" applyFont="1" applyBorder="1" applyAlignment="1">
      <alignment vertical="center"/>
    </xf>
    <xf numFmtId="183" fontId="5" fillId="0" borderId="0" xfId="0" applyNumberFormat="1" applyFont="1" applyBorder="1" applyAlignment="1">
      <alignment horizontal="center" vertical="center"/>
    </xf>
    <xf numFmtId="183" fontId="8" fillId="0" borderId="0" xfId="0" applyNumberFormat="1" applyFont="1" applyBorder="1"/>
    <xf numFmtId="183" fontId="5" fillId="0" borderId="0" xfId="0" applyNumberFormat="1" applyFont="1" applyBorder="1"/>
    <xf numFmtId="183" fontId="11" fillId="4" borderId="1" xfId="0" applyNumberFormat="1" applyFont="1" applyFill="1" applyBorder="1" applyAlignment="1">
      <alignment horizontal="center" vertical="center"/>
    </xf>
    <xf numFmtId="183" fontId="5" fillId="0" borderId="1" xfId="0" applyNumberFormat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vertical="center"/>
    </xf>
    <xf numFmtId="4" fontId="5" fillId="0" borderId="0" xfId="0" applyNumberFormat="1" applyFont="1" applyAlignment="1">
      <alignment horizontal="center" vertical="center"/>
    </xf>
    <xf numFmtId="10" fontId="0" fillId="0" borderId="0" xfId="0" applyNumberFormat="1"/>
    <xf numFmtId="184" fontId="0" fillId="0" borderId="0" xfId="0" applyNumberFormat="1"/>
    <xf numFmtId="179" fontId="6" fillId="5" borderId="0" xfId="2" applyNumberFormat="1" applyFont="1" applyFill="1" applyBorder="1" applyAlignment="1">
      <alignment horizontal="left" vertical="center"/>
    </xf>
    <xf numFmtId="58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4" fontId="10" fillId="2" borderId="4" xfId="0" applyNumberFormat="1" applyFont="1" applyFill="1" applyBorder="1" applyAlignment="1">
      <alignment horizontal="center" vertical="center"/>
    </xf>
    <xf numFmtId="179" fontId="8" fillId="2" borderId="4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4" fontId="10" fillId="2" borderId="5" xfId="0" applyNumberFormat="1" applyFont="1" applyFill="1" applyBorder="1" applyAlignment="1">
      <alignment horizontal="center" vertical="center"/>
    </xf>
    <xf numFmtId="179" fontId="8" fillId="2" borderId="5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4" fontId="10" fillId="4" borderId="4" xfId="0" applyNumberFormat="1" applyFont="1" applyFill="1" applyBorder="1" applyAlignment="1">
      <alignment horizontal="center" vertical="center"/>
    </xf>
    <xf numFmtId="179" fontId="8" fillId="4" borderId="4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4" fontId="10" fillId="4" borderId="5" xfId="0" applyNumberFormat="1" applyFont="1" applyFill="1" applyBorder="1" applyAlignment="1">
      <alignment horizontal="center" vertical="center"/>
    </xf>
    <xf numFmtId="179" fontId="8" fillId="4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9" fontId="8" fillId="0" borderId="0" xfId="0" applyNumberFormat="1" applyFont="1" applyAlignment="1">
      <alignment horizontal="center"/>
    </xf>
    <xf numFmtId="179" fontId="10" fillId="0" borderId="6" xfId="0" applyNumberFormat="1" applyFont="1" applyBorder="1" applyAlignment="1">
      <alignment horizontal="center"/>
    </xf>
    <xf numFmtId="0" fontId="8" fillId="2" borderId="1" xfId="0" applyFont="1" applyFill="1" applyBorder="1"/>
    <xf numFmtId="4" fontId="8" fillId="2" borderId="1" xfId="0" applyNumberFormat="1" applyFont="1" applyFill="1" applyBorder="1" applyAlignment="1">
      <alignment horizontal="center" vertical="center"/>
    </xf>
    <xf numFmtId="179" fontId="8" fillId="2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/>
    <xf numFmtId="4" fontId="8" fillId="4" borderId="1" xfId="0" applyNumberFormat="1" applyFont="1" applyFill="1" applyBorder="1" applyAlignment="1">
      <alignment horizontal="center" vertical="center"/>
    </xf>
    <xf numFmtId="179" fontId="8" fillId="4" borderId="1" xfId="0" applyNumberFormat="1" applyFont="1" applyFill="1" applyBorder="1" applyAlignment="1">
      <alignment horizontal="left" vertical="center"/>
    </xf>
    <xf numFmtId="179" fontId="10" fillId="0" borderId="0" xfId="0" applyNumberFormat="1" applyFont="1" applyAlignment="1">
      <alignment horizontal="left" vertical="center"/>
    </xf>
    <xf numFmtId="0" fontId="8" fillId="0" borderId="1" xfId="0" applyFont="1" applyBorder="1"/>
    <xf numFmtId="179" fontId="8" fillId="0" borderId="0" xfId="0" applyNumberFormat="1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182" fontId="8" fillId="0" borderId="1" xfId="0" applyNumberFormat="1" applyFont="1" applyBorder="1" applyAlignment="1">
      <alignment horizontal="left"/>
    </xf>
    <xf numFmtId="0" fontId="8" fillId="0" borderId="0" xfId="0" applyFont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179" fontId="8" fillId="0" borderId="0" xfId="0" applyNumberFormat="1" applyFont="1" applyBorder="1"/>
    <xf numFmtId="0" fontId="0" fillId="0" borderId="1" xfId="0" applyBorder="1"/>
    <xf numFmtId="180" fontId="0" fillId="0" borderId="1" xfId="0" applyNumberFormat="1" applyBorder="1"/>
    <xf numFmtId="182" fontId="10" fillId="0" borderId="0" xfId="0" applyNumberFormat="1" applyFont="1"/>
    <xf numFmtId="4" fontId="8" fillId="0" borderId="1" xfId="0" applyNumberFormat="1" applyFont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181" fontId="8" fillId="0" borderId="1" xfId="0" applyNumberFormat="1" applyFont="1" applyBorder="1"/>
    <xf numFmtId="179" fontId="8" fillId="0" borderId="1" xfId="0" applyNumberFormat="1" applyFont="1" applyBorder="1"/>
    <xf numFmtId="185" fontId="8" fillId="0" borderId="1" xfId="0" applyNumberFormat="1" applyFont="1" applyBorder="1" applyAlignment="1">
      <alignment horizontal="center" vertical="center"/>
    </xf>
    <xf numFmtId="179" fontId="10" fillId="0" borderId="0" xfId="0" applyNumberFormat="1" applyFont="1"/>
    <xf numFmtId="0" fontId="10" fillId="0" borderId="0" xfId="0" applyFont="1" applyAlignment="1">
      <alignment horizontal="center"/>
    </xf>
    <xf numFmtId="179" fontId="10" fillId="0" borderId="2" xfId="0" applyNumberFormat="1" applyFont="1" applyBorder="1"/>
    <xf numFmtId="0" fontId="14" fillId="0" borderId="0" xfId="0" applyFont="1" applyAlignment="1">
      <alignment horizontal="center" vertical="center" wrapText="1"/>
    </xf>
    <xf numFmtId="0" fontId="15" fillId="2" borderId="7" xfId="0" applyFont="1" applyFill="1" applyBorder="1" applyAlignment="1">
      <alignment horizontal="left"/>
    </xf>
    <xf numFmtId="0" fontId="15" fillId="2" borderId="8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6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3" fontId="16" fillId="6" borderId="1" xfId="0" applyNumberFormat="1" applyFont="1" applyFill="1" applyBorder="1" applyAlignment="1">
      <alignment horizontal="left" vertical="center"/>
    </xf>
    <xf numFmtId="4" fontId="16" fillId="6" borderId="1" xfId="0" applyNumberFormat="1" applyFont="1" applyFill="1" applyBorder="1" applyAlignment="1">
      <alignment horizontal="left" vertical="center"/>
    </xf>
    <xf numFmtId="185" fontId="15" fillId="6" borderId="1" xfId="0" applyNumberFormat="1" applyFont="1" applyFill="1" applyBorder="1" applyAlignment="1">
      <alignment horizontal="left" vertical="center"/>
    </xf>
    <xf numFmtId="0" fontId="15" fillId="4" borderId="7" xfId="0" applyFont="1" applyFill="1" applyBorder="1" applyAlignment="1">
      <alignment horizontal="left"/>
    </xf>
    <xf numFmtId="0" fontId="15" fillId="4" borderId="8" xfId="0" applyFont="1" applyFill="1" applyBorder="1" applyAlignment="1">
      <alignment horizontal="left"/>
    </xf>
    <xf numFmtId="0" fontId="15" fillId="4" borderId="9" xfId="0" applyFont="1" applyFill="1" applyBorder="1" applyAlignment="1">
      <alignment horizontal="left"/>
    </xf>
    <xf numFmtId="1" fontId="15" fillId="6" borderId="1" xfId="0" applyNumberFormat="1" applyFont="1" applyFill="1" applyBorder="1" applyAlignment="1">
      <alignment horizontal="left" vertical="center"/>
    </xf>
    <xf numFmtId="0" fontId="14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vertical="center" wrapText="1"/>
    </xf>
    <xf numFmtId="0" fontId="17" fillId="0" borderId="0" xfId="0" applyFont="1"/>
    <xf numFmtId="0" fontId="18" fillId="0" borderId="0" xfId="0" applyFont="1"/>
    <xf numFmtId="184" fontId="0" fillId="0" borderId="0" xfId="0" applyNumberFormat="1" applyFont="1"/>
    <xf numFmtId="58" fontId="17" fillId="0" borderId="0" xfId="0" applyNumberFormat="1" applyFont="1"/>
    <xf numFmtId="180" fontId="17" fillId="0" borderId="0" xfId="2" applyNumberFormat="1" applyFont="1" applyAlignment="1"/>
    <xf numFmtId="184" fontId="17" fillId="0" borderId="0" xfId="0" applyNumberFormat="1" applyFont="1" applyBorder="1"/>
    <xf numFmtId="180" fontId="17" fillId="0" borderId="0" xfId="2" applyNumberFormat="1" applyFont="1" applyBorder="1" applyAlignment="1">
      <alignment horizontal="left"/>
    </xf>
    <xf numFmtId="186" fontId="17" fillId="0" borderId="0" xfId="2" applyNumberFormat="1" applyFont="1" applyBorder="1" applyAlignment="1"/>
    <xf numFmtId="180" fontId="17" fillId="0" borderId="0" xfId="2" applyNumberFormat="1" applyFont="1" applyBorder="1" applyAlignment="1"/>
    <xf numFmtId="0" fontId="17" fillId="0" borderId="0" xfId="0" applyFont="1" applyBorder="1"/>
    <xf numFmtId="0" fontId="0" fillId="0" borderId="0" xfId="0" applyFont="1"/>
    <xf numFmtId="184" fontId="0" fillId="0" borderId="0" xfId="0" applyNumberFormat="1" applyFont="1" applyBorder="1"/>
    <xf numFmtId="186" fontId="17" fillId="0" borderId="0" xfId="2" applyNumberFormat="1" applyFont="1" applyBorder="1" applyAlignment="1">
      <alignment horizontal="left"/>
    </xf>
    <xf numFmtId="0" fontId="0" fillId="0" borderId="0" xfId="0" applyFont="1" applyBorder="1"/>
    <xf numFmtId="179" fontId="0" fillId="0" borderId="0" xfId="0" applyNumberFormat="1" applyFont="1" applyBorder="1" applyAlignment="1">
      <alignment horizontal="left"/>
    </xf>
    <xf numFmtId="180" fontId="0" fillId="0" borderId="0" xfId="0" applyNumberFormat="1" applyFont="1" applyBorder="1"/>
    <xf numFmtId="179" fontId="0" fillId="0" borderId="1" xfId="0" applyNumberFormat="1" applyFont="1" applyBorder="1" applyAlignment="1">
      <alignment horizontal="left"/>
    </xf>
    <xf numFmtId="184" fontId="17" fillId="0" borderId="0" xfId="0" applyNumberFormat="1" applyFont="1"/>
    <xf numFmtId="186" fontId="17" fillId="0" borderId="0" xfId="2" applyNumberFormat="1" applyFont="1" applyAlignment="1"/>
    <xf numFmtId="182" fontId="0" fillId="0" borderId="0" xfId="0" applyNumberFormat="1" applyFont="1"/>
    <xf numFmtId="182" fontId="0" fillId="0" borderId="0" xfId="0" applyNumberFormat="1" applyFont="1" applyBorder="1"/>
    <xf numFmtId="0" fontId="0" fillId="0" borderId="1" xfId="0" applyFont="1" applyFill="1" applyBorder="1" applyAlignment="1">
      <alignment horizontal="center"/>
    </xf>
    <xf numFmtId="0" fontId="0" fillId="6" borderId="1" xfId="0" applyFont="1" applyFill="1" applyBorder="1" applyAlignment="1"/>
    <xf numFmtId="0" fontId="0" fillId="6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184" fontId="0" fillId="0" borderId="1" xfId="0" applyNumberFormat="1" applyBorder="1" applyAlignment="1"/>
    <xf numFmtId="177" fontId="0" fillId="0" borderId="1" xfId="0" applyNumberFormat="1" applyBorder="1"/>
    <xf numFmtId="58" fontId="0" fillId="0" borderId="1" xfId="0" applyNumberFormat="1" applyBorder="1" applyAlignment="1"/>
    <xf numFmtId="18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87" fontId="0" fillId="0" borderId="1" xfId="0" applyNumberFormat="1" applyBorder="1"/>
    <xf numFmtId="58" fontId="0" fillId="0" borderId="1" xfId="0" applyNumberFormat="1" applyBorder="1"/>
    <xf numFmtId="177" fontId="0" fillId="0" borderId="0" xfId="0" applyNumberFormat="1"/>
    <xf numFmtId="0" fontId="0" fillId="0" borderId="0" xfId="0" applyFont="1" applyFill="1" applyAlignment="1"/>
    <xf numFmtId="0" fontId="0" fillId="7" borderId="1" xfId="0" applyFont="1" applyFill="1" applyBorder="1" applyAlignment="1"/>
    <xf numFmtId="0" fontId="19" fillId="0" borderId="1" xfId="0" applyFont="1" applyFill="1" applyBorder="1" applyAlignment="1"/>
    <xf numFmtId="58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0" fontId="20" fillId="8" borderId="1" xfId="0" applyFont="1" applyFill="1" applyBorder="1" applyAlignment="1"/>
    <xf numFmtId="0" fontId="20" fillId="0" borderId="1" xfId="0" applyFont="1" applyFill="1" applyBorder="1" applyAlignment="1"/>
    <xf numFmtId="0" fontId="20" fillId="6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21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/>
    <xf numFmtId="0" fontId="24" fillId="0" borderId="0" xfId="0" applyFont="1" applyBorder="1" applyAlignment="1">
      <alignment horizontal="center" vertical="center"/>
    </xf>
    <xf numFmtId="4" fontId="24" fillId="0" borderId="0" xfId="0" applyNumberFormat="1" applyFont="1" applyBorder="1" applyAlignment="1">
      <alignment vertical="center"/>
    </xf>
    <xf numFmtId="181" fontId="24" fillId="0" borderId="0" xfId="0" applyNumberFormat="1" applyFont="1" applyBorder="1" applyAlignment="1">
      <alignment vertical="center"/>
    </xf>
    <xf numFmtId="4" fontId="24" fillId="0" borderId="0" xfId="0" applyNumberFormat="1" applyFont="1" applyBorder="1" applyAlignment="1">
      <alignment horizontal="center" vertical="center"/>
    </xf>
    <xf numFmtId="181" fontId="24" fillId="0" borderId="0" xfId="0" applyNumberFormat="1" applyFont="1" applyBorder="1" applyAlignment="1">
      <alignment horizontal="center" vertical="center"/>
    </xf>
    <xf numFmtId="181" fontId="24" fillId="0" borderId="0" xfId="0" applyNumberFormat="1" applyFont="1" applyBorder="1" applyAlignment="1">
      <alignment horizontal="left" vertical="center"/>
    </xf>
    <xf numFmtId="0" fontId="24" fillId="0" borderId="0" xfId="0" applyFont="1" applyBorder="1"/>
    <xf numFmtId="188" fontId="22" fillId="0" borderId="0" xfId="0" applyNumberFormat="1" applyFont="1" applyBorder="1"/>
    <xf numFmtId="181" fontId="25" fillId="0" borderId="0" xfId="0" applyNumberFormat="1" applyFont="1" applyBorder="1" applyAlignment="1">
      <alignment horizontal="left" vertical="center"/>
    </xf>
    <xf numFmtId="188" fontId="24" fillId="0" borderId="0" xfId="0" applyNumberFormat="1" applyFont="1" applyBorder="1"/>
    <xf numFmtId="0" fontId="22" fillId="0" borderId="0" xfId="0" applyFont="1" applyFill="1" applyBorder="1"/>
    <xf numFmtId="181" fontId="22" fillId="0" borderId="0" xfId="0" applyNumberFormat="1" applyFont="1" applyBorder="1" applyAlignment="1">
      <alignment horizontal="left" vertical="center"/>
    </xf>
    <xf numFmtId="0" fontId="20" fillId="0" borderId="0" xfId="0" applyFont="1"/>
    <xf numFmtId="0" fontId="22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2" fillId="0" borderId="10" xfId="0" applyFont="1" applyBorder="1"/>
    <xf numFmtId="0" fontId="24" fillId="0" borderId="10" xfId="0" applyFont="1" applyBorder="1" applyAlignment="1">
      <alignment horizontal="center" vertical="center"/>
    </xf>
    <xf numFmtId="4" fontId="24" fillId="0" borderId="10" xfId="0" applyNumberFormat="1" applyFont="1" applyBorder="1" applyAlignment="1">
      <alignment horizontal="center" vertical="center"/>
    </xf>
    <xf numFmtId="181" fontId="24" fillId="0" borderId="11" xfId="0" applyNumberFormat="1" applyFont="1" applyBorder="1" applyAlignment="1">
      <alignment horizontal="center" vertical="center"/>
    </xf>
    <xf numFmtId="181" fontId="24" fillId="0" borderId="10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81" fontId="24" fillId="0" borderId="6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0" xfId="0" applyFont="1"/>
    <xf numFmtId="181" fontId="25" fillId="0" borderId="10" xfId="0" applyNumberFormat="1" applyFont="1" applyBorder="1" applyAlignment="1">
      <alignment horizontal="left" vertical="center"/>
    </xf>
    <xf numFmtId="181" fontId="24" fillId="0" borderId="0" xfId="0" applyNumberFormat="1" applyFont="1" applyAlignment="1">
      <alignment horizontal="left" vertical="center"/>
    </xf>
    <xf numFmtId="181" fontId="24" fillId="0" borderId="10" xfId="0" applyNumberFormat="1" applyFont="1" applyBorder="1" applyAlignment="1">
      <alignment horizontal="left" vertical="center"/>
    </xf>
    <xf numFmtId="181" fontId="24" fillId="0" borderId="0" xfId="0" applyNumberFormat="1" applyFont="1" applyBorder="1" applyAlignment="1">
      <alignment horizontal="left"/>
    </xf>
    <xf numFmtId="181" fontId="24" fillId="0" borderId="10" xfId="0" applyNumberFormat="1" applyFont="1" applyBorder="1" applyAlignment="1">
      <alignment horizontal="left"/>
    </xf>
    <xf numFmtId="0" fontId="22" fillId="0" borderId="0" xfId="0" applyFont="1"/>
    <xf numFmtId="181" fontId="22" fillId="0" borderId="10" xfId="0" applyNumberFormat="1" applyFont="1" applyBorder="1" applyAlignment="1">
      <alignment horizontal="left" vertical="center"/>
    </xf>
    <xf numFmtId="0" fontId="22" fillId="11" borderId="13" xfId="0" applyFont="1" applyFill="1" applyBorder="1" applyAlignment="1">
      <alignment horizontal="center"/>
    </xf>
    <xf numFmtId="0" fontId="22" fillId="11" borderId="14" xfId="0" applyFont="1" applyFill="1" applyBorder="1" applyAlignment="1">
      <alignment horizontal="center"/>
    </xf>
    <xf numFmtId="4" fontId="24" fillId="0" borderId="10" xfId="0" applyNumberFormat="1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3" fontId="22" fillId="0" borderId="0" xfId="0" applyNumberFormat="1" applyFont="1" applyAlignment="1">
      <alignment horizontal="left" vertical="center"/>
    </xf>
    <xf numFmtId="4" fontId="24" fillId="0" borderId="0" xfId="0" applyNumberFormat="1" applyFont="1" applyBorder="1" applyAlignment="1">
      <alignment horizontal="left" vertical="center"/>
    </xf>
    <xf numFmtId="3" fontId="22" fillId="0" borderId="2" xfId="0" applyNumberFormat="1" applyFont="1" applyBorder="1" applyAlignment="1">
      <alignment horizontal="left" vertical="center"/>
    </xf>
    <xf numFmtId="0" fontId="20" fillId="0" borderId="0" xfId="0" applyFont="1" applyBorder="1"/>
    <xf numFmtId="0" fontId="22" fillId="0" borderId="0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181" fontId="28" fillId="0" borderId="0" xfId="0" applyNumberFormat="1" applyFont="1" applyBorder="1" applyAlignment="1">
      <alignment horizontal="left" vertical="center"/>
    </xf>
    <xf numFmtId="181" fontId="0" fillId="0" borderId="0" xfId="0" applyNumberFormat="1" applyBorder="1" applyAlignment="1">
      <alignment horizontal="left"/>
    </xf>
    <xf numFmtId="0" fontId="27" fillId="0" borderId="0" xfId="0" applyFont="1" applyBorder="1" applyAlignment="1">
      <alignment horizontal="center"/>
    </xf>
    <xf numFmtId="181" fontId="27" fillId="0" borderId="0" xfId="0" applyNumberFormat="1" applyFont="1" applyBorder="1" applyAlignment="1">
      <alignment horizontal="center"/>
    </xf>
    <xf numFmtId="181" fontId="28" fillId="0" borderId="0" xfId="0" applyNumberFormat="1" applyFont="1" applyBorder="1" applyAlignment="1">
      <alignment vertical="center"/>
    </xf>
    <xf numFmtId="181" fontId="27" fillId="0" borderId="0" xfId="0" applyNumberFormat="1" applyFont="1" applyBorder="1" applyAlignment="1"/>
    <xf numFmtId="181" fontId="0" fillId="0" borderId="0" xfId="0" applyNumberForma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79" formatCode="_-&quot;Rp&quot;* #,##0_-;\-&quot;Rp&quot;* #,##0_-;_-&quot;Rp&quot;* &quot;-&quot;??_-;_-@_-"/>
    </dxf>
    <dxf>
      <numFmt numFmtId="179" formatCode="_-&quot;Rp&quot;* #,##0_-;\-&quot;Rp&quot;* #,##0_-;_-&quot;Rp&quot;* &quot;-&quot;??_-;_-@_-"/>
    </dxf>
    <dxf>
      <numFmt numFmtId="179" formatCode="_-&quot;Rp&quot;* #,##0_-;\-&quot;Rp&quot;* #,##0_-;_-&quot;Rp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342900</xdr:colOff>
      <xdr:row>0</xdr:row>
      <xdr:rowOff>38102</xdr:rowOff>
    </xdr:from>
    <xdr:to>
      <xdr:col>1</xdr:col>
      <xdr:colOff>504825</xdr:colOff>
      <xdr:row>4</xdr:row>
      <xdr:rowOff>39747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810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45</xdr:row>
      <xdr:rowOff>38102</xdr:rowOff>
    </xdr:from>
    <xdr:to>
      <xdr:col>1</xdr:col>
      <xdr:colOff>504825</xdr:colOff>
      <xdr:row>49</xdr:row>
      <xdr:rowOff>39747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892492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90</xdr:row>
      <xdr:rowOff>38102</xdr:rowOff>
    </xdr:from>
    <xdr:to>
      <xdr:col>1</xdr:col>
      <xdr:colOff>504825</xdr:colOff>
      <xdr:row>94</xdr:row>
      <xdr:rowOff>39747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781175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135</xdr:row>
      <xdr:rowOff>38102</xdr:rowOff>
    </xdr:from>
    <xdr:to>
      <xdr:col>1</xdr:col>
      <xdr:colOff>504825</xdr:colOff>
      <xdr:row>139</xdr:row>
      <xdr:rowOff>39747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669857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180</xdr:row>
      <xdr:rowOff>38102</xdr:rowOff>
    </xdr:from>
    <xdr:to>
      <xdr:col>1</xdr:col>
      <xdr:colOff>504825</xdr:colOff>
      <xdr:row>184</xdr:row>
      <xdr:rowOff>39747</xdr:rowOff>
    </xdr:to>
    <xdr:pic>
      <xdr:nvPicPr>
        <xdr:cNvPr id="6" name="Picture 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558540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225</xdr:row>
      <xdr:rowOff>38102</xdr:rowOff>
    </xdr:from>
    <xdr:to>
      <xdr:col>1</xdr:col>
      <xdr:colOff>504825</xdr:colOff>
      <xdr:row>229</xdr:row>
      <xdr:rowOff>39747</xdr:rowOff>
    </xdr:to>
    <xdr:pic>
      <xdr:nvPicPr>
        <xdr:cNvPr id="7" name="Picture 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4447222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270</xdr:row>
      <xdr:rowOff>38102</xdr:rowOff>
    </xdr:from>
    <xdr:to>
      <xdr:col>1</xdr:col>
      <xdr:colOff>504825</xdr:colOff>
      <xdr:row>274</xdr:row>
      <xdr:rowOff>39747</xdr:rowOff>
    </xdr:to>
    <xdr:pic>
      <xdr:nvPicPr>
        <xdr:cNvPr id="8" name="Picture 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335905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315</xdr:row>
      <xdr:rowOff>38102</xdr:rowOff>
    </xdr:from>
    <xdr:to>
      <xdr:col>1</xdr:col>
      <xdr:colOff>504825</xdr:colOff>
      <xdr:row>319</xdr:row>
      <xdr:rowOff>39747</xdr:rowOff>
    </xdr:to>
    <xdr:pic>
      <xdr:nvPicPr>
        <xdr:cNvPr id="9" name="Picture 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224587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360</xdr:row>
      <xdr:rowOff>38102</xdr:rowOff>
    </xdr:from>
    <xdr:to>
      <xdr:col>1</xdr:col>
      <xdr:colOff>504825</xdr:colOff>
      <xdr:row>364</xdr:row>
      <xdr:rowOff>39747</xdr:rowOff>
    </xdr:to>
    <xdr:pic>
      <xdr:nvPicPr>
        <xdr:cNvPr id="10" name="Picture 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113270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405</xdr:row>
      <xdr:rowOff>38102</xdr:rowOff>
    </xdr:from>
    <xdr:to>
      <xdr:col>1</xdr:col>
      <xdr:colOff>504825</xdr:colOff>
      <xdr:row>409</xdr:row>
      <xdr:rowOff>39747</xdr:rowOff>
    </xdr:to>
    <xdr:pic>
      <xdr:nvPicPr>
        <xdr:cNvPr id="11" name="Picture 1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8001952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450</xdr:row>
      <xdr:rowOff>38102</xdr:rowOff>
    </xdr:from>
    <xdr:to>
      <xdr:col>1</xdr:col>
      <xdr:colOff>504825</xdr:colOff>
      <xdr:row>454</xdr:row>
      <xdr:rowOff>39747</xdr:rowOff>
    </xdr:to>
    <xdr:pic>
      <xdr:nvPicPr>
        <xdr:cNvPr id="12" name="Picture 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8890635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495</xdr:row>
      <xdr:rowOff>38102</xdr:rowOff>
    </xdr:from>
    <xdr:to>
      <xdr:col>1</xdr:col>
      <xdr:colOff>504825</xdr:colOff>
      <xdr:row>499</xdr:row>
      <xdr:rowOff>39747</xdr:rowOff>
    </xdr:to>
    <xdr:pic>
      <xdr:nvPicPr>
        <xdr:cNvPr id="13" name="Picture 1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779317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540</xdr:row>
      <xdr:rowOff>38102</xdr:rowOff>
    </xdr:from>
    <xdr:to>
      <xdr:col>1</xdr:col>
      <xdr:colOff>504825</xdr:colOff>
      <xdr:row>544</xdr:row>
      <xdr:rowOff>39747</xdr:rowOff>
    </xdr:to>
    <xdr:pic>
      <xdr:nvPicPr>
        <xdr:cNvPr id="14" name="Picture 1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0668000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585</xdr:row>
      <xdr:rowOff>38102</xdr:rowOff>
    </xdr:from>
    <xdr:to>
      <xdr:col>1</xdr:col>
      <xdr:colOff>504825</xdr:colOff>
      <xdr:row>589</xdr:row>
      <xdr:rowOff>39747</xdr:rowOff>
    </xdr:to>
    <xdr:pic>
      <xdr:nvPicPr>
        <xdr:cNvPr id="15" name="Picture 1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556682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630</xdr:row>
      <xdr:rowOff>38102</xdr:rowOff>
    </xdr:from>
    <xdr:to>
      <xdr:col>1</xdr:col>
      <xdr:colOff>504825</xdr:colOff>
      <xdr:row>634</xdr:row>
      <xdr:rowOff>39747</xdr:rowOff>
    </xdr:to>
    <xdr:pic>
      <xdr:nvPicPr>
        <xdr:cNvPr id="16" name="Picture 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2445365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675</xdr:row>
      <xdr:rowOff>38102</xdr:rowOff>
    </xdr:from>
    <xdr:to>
      <xdr:col>1</xdr:col>
      <xdr:colOff>504825</xdr:colOff>
      <xdr:row>679</xdr:row>
      <xdr:rowOff>39747</xdr:rowOff>
    </xdr:to>
    <xdr:pic>
      <xdr:nvPicPr>
        <xdr:cNvPr id="17" name="Picture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3334047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720</xdr:row>
      <xdr:rowOff>38102</xdr:rowOff>
    </xdr:from>
    <xdr:to>
      <xdr:col>1</xdr:col>
      <xdr:colOff>504825</xdr:colOff>
      <xdr:row>724</xdr:row>
      <xdr:rowOff>39747</xdr:rowOff>
    </xdr:to>
    <xdr:pic>
      <xdr:nvPicPr>
        <xdr:cNvPr id="18" name="Picture 1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4222730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765</xdr:row>
      <xdr:rowOff>38102</xdr:rowOff>
    </xdr:from>
    <xdr:to>
      <xdr:col>1</xdr:col>
      <xdr:colOff>504825</xdr:colOff>
      <xdr:row>769</xdr:row>
      <xdr:rowOff>39747</xdr:rowOff>
    </xdr:to>
    <xdr:pic>
      <xdr:nvPicPr>
        <xdr:cNvPr id="19" name="Picture 1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5111412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810</xdr:row>
      <xdr:rowOff>38102</xdr:rowOff>
    </xdr:from>
    <xdr:to>
      <xdr:col>1</xdr:col>
      <xdr:colOff>504825</xdr:colOff>
      <xdr:row>814</xdr:row>
      <xdr:rowOff>39747</xdr:rowOff>
    </xdr:to>
    <xdr:pic>
      <xdr:nvPicPr>
        <xdr:cNvPr id="20" name="Picture 1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6000095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855</xdr:row>
      <xdr:rowOff>38102</xdr:rowOff>
    </xdr:from>
    <xdr:to>
      <xdr:col>1</xdr:col>
      <xdr:colOff>504825</xdr:colOff>
      <xdr:row>859</xdr:row>
      <xdr:rowOff>39747</xdr:rowOff>
    </xdr:to>
    <xdr:pic>
      <xdr:nvPicPr>
        <xdr:cNvPr id="21" name="Picture 2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6888777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900</xdr:row>
      <xdr:rowOff>38102</xdr:rowOff>
    </xdr:from>
    <xdr:to>
      <xdr:col>1</xdr:col>
      <xdr:colOff>504825</xdr:colOff>
      <xdr:row>904</xdr:row>
      <xdr:rowOff>39747</xdr:rowOff>
    </xdr:to>
    <xdr:pic>
      <xdr:nvPicPr>
        <xdr:cNvPr id="22" name="Picture 2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7777460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945</xdr:row>
      <xdr:rowOff>38102</xdr:rowOff>
    </xdr:from>
    <xdr:to>
      <xdr:col>1</xdr:col>
      <xdr:colOff>504825</xdr:colOff>
      <xdr:row>949</xdr:row>
      <xdr:rowOff>39747</xdr:rowOff>
    </xdr:to>
    <xdr:pic>
      <xdr:nvPicPr>
        <xdr:cNvPr id="23" name="Picture 2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8666142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990</xdr:row>
      <xdr:rowOff>38102</xdr:rowOff>
    </xdr:from>
    <xdr:to>
      <xdr:col>1</xdr:col>
      <xdr:colOff>504825</xdr:colOff>
      <xdr:row>994</xdr:row>
      <xdr:rowOff>39747</xdr:rowOff>
    </xdr:to>
    <xdr:pic>
      <xdr:nvPicPr>
        <xdr:cNvPr id="24" name="Picture 2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9554825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1035</xdr:row>
      <xdr:rowOff>38102</xdr:rowOff>
    </xdr:from>
    <xdr:to>
      <xdr:col>1</xdr:col>
      <xdr:colOff>504825</xdr:colOff>
      <xdr:row>1039</xdr:row>
      <xdr:rowOff>39747</xdr:rowOff>
    </xdr:to>
    <xdr:pic>
      <xdr:nvPicPr>
        <xdr:cNvPr id="25" name="Picture 2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0443507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1082</xdr:row>
      <xdr:rowOff>38102</xdr:rowOff>
    </xdr:from>
    <xdr:to>
      <xdr:col>1</xdr:col>
      <xdr:colOff>504825</xdr:colOff>
      <xdr:row>1086</xdr:row>
      <xdr:rowOff>39747</xdr:rowOff>
    </xdr:to>
    <xdr:pic>
      <xdr:nvPicPr>
        <xdr:cNvPr id="26" name="Picture 2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1370290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1125</xdr:row>
      <xdr:rowOff>38102</xdr:rowOff>
    </xdr:from>
    <xdr:to>
      <xdr:col>1</xdr:col>
      <xdr:colOff>504825</xdr:colOff>
      <xdr:row>1129</xdr:row>
      <xdr:rowOff>39747</xdr:rowOff>
    </xdr:to>
    <xdr:pic>
      <xdr:nvPicPr>
        <xdr:cNvPr id="28" name="Picture 2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2220872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1170</xdr:row>
      <xdr:rowOff>38102</xdr:rowOff>
    </xdr:from>
    <xdr:to>
      <xdr:col>1</xdr:col>
      <xdr:colOff>504825</xdr:colOff>
      <xdr:row>1174</xdr:row>
      <xdr:rowOff>39747</xdr:rowOff>
    </xdr:to>
    <xdr:pic>
      <xdr:nvPicPr>
        <xdr:cNvPr id="29" name="Picture 2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3109555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1215</xdr:row>
      <xdr:rowOff>38102</xdr:rowOff>
    </xdr:from>
    <xdr:to>
      <xdr:col>1</xdr:col>
      <xdr:colOff>504825</xdr:colOff>
      <xdr:row>1219</xdr:row>
      <xdr:rowOff>39747</xdr:rowOff>
    </xdr:to>
    <xdr:pic>
      <xdr:nvPicPr>
        <xdr:cNvPr id="30" name="Picture 2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3998237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1260</xdr:row>
      <xdr:rowOff>38102</xdr:rowOff>
    </xdr:from>
    <xdr:to>
      <xdr:col>1</xdr:col>
      <xdr:colOff>504825</xdr:colOff>
      <xdr:row>1264</xdr:row>
      <xdr:rowOff>39747</xdr:rowOff>
    </xdr:to>
    <xdr:pic>
      <xdr:nvPicPr>
        <xdr:cNvPr id="31" name="Picture 3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48869200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1305</xdr:row>
      <xdr:rowOff>38102</xdr:rowOff>
    </xdr:from>
    <xdr:to>
      <xdr:col>1</xdr:col>
      <xdr:colOff>504825</xdr:colOff>
      <xdr:row>1309</xdr:row>
      <xdr:rowOff>39747</xdr:rowOff>
    </xdr:to>
    <xdr:pic>
      <xdr:nvPicPr>
        <xdr:cNvPr id="32" name="Picture 3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5775602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1305</xdr:row>
      <xdr:rowOff>38102</xdr:rowOff>
    </xdr:from>
    <xdr:to>
      <xdr:col>1</xdr:col>
      <xdr:colOff>504825</xdr:colOff>
      <xdr:row>1309</xdr:row>
      <xdr:rowOff>39747</xdr:rowOff>
    </xdr:to>
    <xdr:pic>
      <xdr:nvPicPr>
        <xdr:cNvPr id="33" name="Picture 3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57756025"/>
          <a:ext cx="65722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1350</xdr:row>
      <xdr:rowOff>38102</xdr:rowOff>
    </xdr:from>
    <xdr:to>
      <xdr:col>1</xdr:col>
      <xdr:colOff>504825</xdr:colOff>
      <xdr:row>1354</xdr:row>
      <xdr:rowOff>39747</xdr:rowOff>
    </xdr:to>
    <xdr:pic>
      <xdr:nvPicPr>
        <xdr:cNvPr id="34" name="Picture 3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66642850"/>
          <a:ext cx="657225" cy="887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342900</xdr:colOff>
      <xdr:row>0</xdr:row>
      <xdr:rowOff>38102</xdr:rowOff>
    </xdr:from>
    <xdr:to>
      <xdr:col>0</xdr:col>
      <xdr:colOff>1000125</xdr:colOff>
      <xdr:row>4</xdr:row>
      <xdr:rowOff>10797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8100"/>
          <a:ext cx="657225" cy="8870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Februari\Harian%20Februari%202026%20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arian"/>
      <sheetName val="Kas Lemari"/>
      <sheetName val="Arus Kas"/>
      <sheetName val="Stok"/>
      <sheetName val="EDC"/>
      <sheetName val="Pengeluaran"/>
      <sheetName val="Losis"/>
      <sheetName val="Tot Akhir"/>
      <sheetName val="Kesimpulan"/>
      <sheetName val="Neraca"/>
      <sheetName val="Gaji"/>
      <sheetName val="Sheet1"/>
    </sheetNames>
    <sheetDataSet>
      <sheetData sheetId="0"/>
      <sheetData sheetId="1"/>
      <sheetData sheetId="2"/>
      <sheetData sheetId="3">
        <row r="3">
          <cell r="B3">
            <v>7416</v>
          </cell>
        </row>
        <row r="36">
          <cell r="B36">
            <v>8106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id="1" name="Table2" displayName="Table2" ref="A8:F51" totalsRowShown="0">
  <autoFilter xmlns:etc="http://www.wps.cn/officeDocument/2017/etCustomData" ref="A8:F51" etc:filterBottomFollowUsedRange="0"/>
  <tableColumns count="6">
    <tableColumn id="1" name="Tanggal"/>
    <tableColumn id="2" name="Keterangan"/>
    <tableColumn id="3" name="Potongan"/>
    <tableColumn id="4" name="Harga" dataDxfId="0"/>
    <tableColumn id="5" name="Jumlah Masuk" dataDxfId="1"/>
    <tableColumn id="6" name="Jumlah Potonga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86"/>
  <sheetViews>
    <sheetView view="pageBreakPreview" zoomScale="78" zoomScaleNormal="100" workbookViewId="0">
      <selection activeCell="I1266" sqref="I1266"/>
    </sheetView>
  </sheetViews>
  <sheetFormatPr defaultColWidth="9" defaultRowHeight="15"/>
  <cols>
    <col min="1" max="1" width="7.42857142857143" customWidth="1"/>
    <col min="2" max="2" width="20" customWidth="1"/>
    <col min="3" max="3" width="18.2857142857143" customWidth="1"/>
    <col min="4" max="4" width="17.5714285714286" customWidth="1"/>
    <col min="5" max="5" width="10.4285714285714" customWidth="1"/>
    <col min="6" max="6" width="14.4285714285714" customWidth="1"/>
    <col min="7" max="7" width="13.8571428571429" customWidth="1"/>
    <col min="8" max="8" width="19.1428571428571" customWidth="1"/>
  </cols>
  <sheetData>
    <row r="1" ht="18" spans="1:9">
      <c r="A1" s="109"/>
      <c r="B1" s="109"/>
      <c r="C1" s="184" t="s">
        <v>0</v>
      </c>
      <c r="D1" s="184"/>
      <c r="E1" s="184"/>
      <c r="F1" s="184"/>
      <c r="G1" s="184"/>
      <c r="H1" s="184"/>
      <c r="I1" s="109"/>
    </row>
    <row r="2" ht="18" spans="1:9">
      <c r="A2" s="185"/>
      <c r="B2" s="185"/>
      <c r="C2" s="186" t="s">
        <v>1</v>
      </c>
      <c r="D2" s="186"/>
      <c r="E2" s="186"/>
      <c r="F2" s="186"/>
      <c r="G2" s="186"/>
      <c r="H2" s="186"/>
      <c r="I2" s="109"/>
    </row>
    <row r="3" ht="18" spans="1:9">
      <c r="A3" s="187"/>
      <c r="B3" s="187"/>
      <c r="C3" s="188" t="s">
        <v>2</v>
      </c>
      <c r="D3" s="188"/>
      <c r="E3" s="188"/>
      <c r="F3" s="188"/>
      <c r="G3" s="188"/>
      <c r="H3" s="188"/>
      <c r="I3" s="109"/>
    </row>
    <row r="4" ht="15.75" spans="1:9">
      <c r="A4" s="187"/>
      <c r="B4" s="189"/>
      <c r="C4" s="190"/>
      <c r="D4" s="190"/>
      <c r="E4" s="190"/>
      <c r="F4" s="191"/>
      <c r="G4" s="192"/>
      <c r="H4" s="192"/>
      <c r="I4" s="109"/>
    </row>
    <row r="5" ht="15.75" spans="1:9">
      <c r="A5" s="187"/>
      <c r="B5" s="189"/>
      <c r="C5" s="190"/>
      <c r="D5" s="190"/>
      <c r="E5" s="190"/>
      <c r="F5" s="193"/>
      <c r="G5" s="194"/>
      <c r="H5" s="195"/>
      <c r="I5" s="109"/>
    </row>
    <row r="6" ht="15.75" spans="1:9">
      <c r="A6" s="196" t="s">
        <v>3</v>
      </c>
      <c r="B6" s="196" t="s">
        <v>4</v>
      </c>
      <c r="C6" s="196"/>
      <c r="D6" s="196"/>
      <c r="E6" s="196"/>
      <c r="F6" s="196" t="s">
        <v>5</v>
      </c>
      <c r="G6" s="197">
        <v>0.208333333333333</v>
      </c>
      <c r="H6" s="198"/>
      <c r="I6" s="109"/>
    </row>
    <row r="7" spans="1:9">
      <c r="A7" s="196" t="s">
        <v>6</v>
      </c>
      <c r="B7" s="195" t="s">
        <v>7</v>
      </c>
      <c r="C7" s="196"/>
      <c r="D7" s="196"/>
      <c r="E7" s="196"/>
      <c r="F7" s="196" t="s">
        <v>8</v>
      </c>
      <c r="G7" s="199">
        <v>0.875</v>
      </c>
      <c r="H7" s="195"/>
      <c r="I7" s="109"/>
    </row>
    <row r="8" spans="1:9">
      <c r="A8" s="196" t="s">
        <v>9</v>
      </c>
      <c r="B8" s="195" t="s">
        <v>10</v>
      </c>
      <c r="C8" s="196"/>
      <c r="D8" s="196"/>
      <c r="E8" s="196"/>
      <c r="F8" s="196"/>
      <c r="G8" s="196"/>
      <c r="H8" s="195"/>
      <c r="I8" s="109"/>
    </row>
    <row r="9" ht="15.75" spans="1:9">
      <c r="A9" s="189"/>
      <c r="B9" s="195"/>
      <c r="C9" s="196"/>
      <c r="D9" s="196"/>
      <c r="E9" s="196"/>
      <c r="F9" s="196"/>
      <c r="G9" s="200"/>
      <c r="H9" s="201"/>
      <c r="I9" s="109"/>
    </row>
    <row r="10" ht="15.75" spans="1:9">
      <c r="A10" s="202"/>
      <c r="B10" s="202"/>
      <c r="C10" s="202"/>
      <c r="D10" s="202"/>
      <c r="E10" s="202"/>
      <c r="F10" s="202"/>
      <c r="G10" s="202"/>
      <c r="H10" s="202"/>
    </row>
    <row r="11" ht="15.75" spans="1:9">
      <c r="A11" s="203" t="s">
        <v>11</v>
      </c>
      <c r="B11" s="203" t="s">
        <v>12</v>
      </c>
      <c r="C11" s="203" t="s">
        <v>13</v>
      </c>
      <c r="D11" s="203" t="s">
        <v>14</v>
      </c>
      <c r="E11" s="203" t="s">
        <v>15</v>
      </c>
      <c r="F11" s="203" t="s">
        <v>16</v>
      </c>
      <c r="G11" s="203" t="s">
        <v>17</v>
      </c>
      <c r="H11" s="203" t="s">
        <v>18</v>
      </c>
    </row>
    <row r="12" ht="15.75" spans="1:9">
      <c r="A12" s="204">
        <v>1</v>
      </c>
      <c r="B12" s="205" t="s">
        <v>19</v>
      </c>
      <c r="C12" s="206">
        <v>30685</v>
      </c>
      <c r="D12" s="206">
        <v>31100</v>
      </c>
      <c r="E12" s="206">
        <f>D12-C12</f>
        <v>415</v>
      </c>
      <c r="F12" s="207">
        <f>E12+E13</f>
        <v>900</v>
      </c>
      <c r="G12" s="208">
        <v>12200</v>
      </c>
      <c r="H12" s="209">
        <f>F12*G12</f>
        <v>10980000</v>
      </c>
    </row>
    <row r="13" ht="15.75" spans="1:9">
      <c r="A13" s="210"/>
      <c r="B13" s="205" t="s">
        <v>20</v>
      </c>
      <c r="C13" s="206">
        <v>31872</v>
      </c>
      <c r="D13" s="206">
        <v>32357</v>
      </c>
      <c r="E13" s="206">
        <f>D13-C13</f>
        <v>485</v>
      </c>
      <c r="F13" s="207"/>
      <c r="G13" s="211"/>
      <c r="H13" s="209"/>
    </row>
    <row r="14" ht="15.75" spans="1:9">
      <c r="A14" s="210"/>
      <c r="B14" s="205" t="s">
        <v>21</v>
      </c>
      <c r="C14" s="206">
        <v>6601</v>
      </c>
      <c r="D14" s="206">
        <v>6601</v>
      </c>
      <c r="E14" s="206">
        <f>D14-C14</f>
        <v>0</v>
      </c>
      <c r="F14" s="207">
        <f>E14+E15</f>
        <v>10</v>
      </c>
      <c r="G14" s="209">
        <v>14500</v>
      </c>
      <c r="H14" s="209">
        <f>G14*F14</f>
        <v>145000</v>
      </c>
    </row>
    <row r="15" ht="15.75" spans="1:9">
      <c r="A15" s="212"/>
      <c r="B15" s="205" t="s">
        <v>22</v>
      </c>
      <c r="C15" s="206">
        <v>6609</v>
      </c>
      <c r="D15" s="206">
        <v>6619</v>
      </c>
      <c r="E15" s="206">
        <f>D15-C15</f>
        <v>10</v>
      </c>
      <c r="F15" s="207"/>
      <c r="G15" s="209"/>
      <c r="H15" s="209"/>
    </row>
    <row r="16" ht="15.75" spans="1:9">
      <c r="A16" s="213"/>
      <c r="B16" s="213"/>
      <c r="C16" s="213"/>
      <c r="D16" s="213"/>
      <c r="E16" s="213"/>
      <c r="F16" s="213"/>
      <c r="G16" s="189" t="s">
        <v>23</v>
      </c>
      <c r="H16" s="214">
        <f>H12+H14</f>
        <v>11125000</v>
      </c>
    </row>
    <row r="17" spans="1:8">
      <c r="A17" s="213" t="s">
        <v>24</v>
      </c>
      <c r="B17" s="215">
        <f>H26</f>
        <v>10708000</v>
      </c>
      <c r="C17" s="213"/>
      <c r="D17" s="213"/>
      <c r="E17" s="213"/>
      <c r="F17" s="213"/>
      <c r="G17" s="196" t="s">
        <v>25</v>
      </c>
      <c r="H17" s="216">
        <v>10000000</v>
      </c>
    </row>
    <row r="18" ht="15.75" spans="1:8">
      <c r="A18" s="213" t="s">
        <v>26</v>
      </c>
      <c r="B18" s="217">
        <v>10000</v>
      </c>
      <c r="C18" s="202"/>
      <c r="D18" s="213"/>
      <c r="E18" s="213"/>
      <c r="F18" s="213"/>
      <c r="G18" s="196" t="s">
        <v>27</v>
      </c>
      <c r="H18" s="218">
        <v>407000</v>
      </c>
    </row>
    <row r="19" ht="15.75" spans="1:8">
      <c r="A19" s="219" t="s">
        <v>18</v>
      </c>
      <c r="B19" s="215">
        <f>SUM(B17:B18)</f>
        <v>10718000</v>
      </c>
      <c r="C19" s="213"/>
      <c r="D19" s="213"/>
      <c r="E19" s="213"/>
      <c r="F19" s="213"/>
      <c r="G19" s="200" t="s">
        <v>28</v>
      </c>
      <c r="H19" s="220">
        <f>H16-H17-H18</f>
        <v>718000</v>
      </c>
    </row>
    <row r="20" ht="15.75" spans="1:8">
      <c r="A20" s="202"/>
      <c r="C20" s="202"/>
      <c r="D20" s="202"/>
      <c r="E20" s="202"/>
      <c r="F20" s="202"/>
      <c r="G20" s="202"/>
      <c r="H20" s="202"/>
    </row>
    <row r="21" ht="15.75" spans="1:8">
      <c r="A21" s="202"/>
      <c r="B21" s="202"/>
      <c r="C21" s="202"/>
      <c r="D21" s="202"/>
      <c r="E21" s="202"/>
      <c r="F21" s="202"/>
      <c r="G21" s="202"/>
      <c r="H21" s="202"/>
    </row>
    <row r="22" ht="15.75" spans="1:8">
      <c r="A22" s="221" t="s">
        <v>23</v>
      </c>
      <c r="B22" s="222"/>
      <c r="C22" s="202"/>
      <c r="D22" s="202"/>
      <c r="E22" s="202"/>
      <c r="F22" s="202"/>
      <c r="G22" s="202"/>
      <c r="H22" s="202"/>
    </row>
    <row r="23" ht="15.75" spans="1:8">
      <c r="A23" s="205" t="s">
        <v>29</v>
      </c>
      <c r="B23" s="223">
        <f>F12</f>
        <v>900</v>
      </c>
      <c r="C23" s="202"/>
      <c r="D23" s="202"/>
      <c r="E23" s="202"/>
      <c r="F23" s="224" t="s">
        <v>30</v>
      </c>
      <c r="G23" s="224"/>
      <c r="H23" s="225">
        <f>H16</f>
        <v>11125000</v>
      </c>
    </row>
    <row r="24" ht="15.75" spans="1:8">
      <c r="A24" s="205" t="s">
        <v>31</v>
      </c>
      <c r="B24" s="223">
        <f>F14</f>
        <v>10</v>
      </c>
      <c r="C24" s="202"/>
      <c r="D24" s="202"/>
      <c r="E24" s="202"/>
      <c r="F24" s="224" t="s">
        <v>27</v>
      </c>
      <c r="G24" s="224"/>
      <c r="H24" s="225">
        <f>H18</f>
        <v>407000</v>
      </c>
    </row>
    <row r="25" ht="15.75" spans="1:8">
      <c r="A25" s="189"/>
      <c r="B25" s="226"/>
      <c r="C25" s="202"/>
      <c r="D25" s="202"/>
      <c r="E25" s="202"/>
      <c r="F25" s="224" t="s">
        <v>26</v>
      </c>
      <c r="G25" s="224"/>
      <c r="H25" s="227">
        <f>B18</f>
        <v>10000</v>
      </c>
    </row>
    <row r="26" ht="15.75" spans="1:8">
      <c r="A26" s="228"/>
      <c r="B26" s="226"/>
      <c r="C26" s="202"/>
      <c r="D26" s="202"/>
      <c r="E26" s="202"/>
      <c r="F26" s="224" t="s">
        <v>28</v>
      </c>
      <c r="G26" s="224"/>
      <c r="H26" s="225">
        <f>H23-H24-H25</f>
        <v>10708000</v>
      </c>
    </row>
    <row r="28" ht="15.75" spans="1:8">
      <c r="A28" s="229"/>
      <c r="B28" s="230"/>
      <c r="C28" s="230"/>
      <c r="D28" s="230"/>
      <c r="E28" s="229"/>
      <c r="F28" s="231"/>
      <c r="G28" s="230"/>
      <c r="H28" s="230"/>
    </row>
    <row r="29" spans="1:8">
      <c r="A29" s="232"/>
      <c r="B29" s="233"/>
      <c r="C29" s="234"/>
      <c r="D29" s="234"/>
      <c r="E29" s="232"/>
      <c r="F29" s="233"/>
      <c r="G29" s="234"/>
      <c r="H29" s="234"/>
    </row>
    <row r="30" spans="1:8">
      <c r="A30" s="232"/>
      <c r="B30" s="233"/>
      <c r="C30" s="234"/>
      <c r="D30" s="234"/>
      <c r="E30" s="232"/>
      <c r="F30" s="233"/>
      <c r="G30" s="234"/>
      <c r="H30" s="234"/>
    </row>
    <row r="31" spans="1:8">
      <c r="A31" s="232"/>
      <c r="B31" s="233"/>
      <c r="C31" s="234"/>
      <c r="D31" s="234"/>
      <c r="E31" s="232"/>
      <c r="F31" s="233"/>
      <c r="G31" s="234"/>
      <c r="H31" s="234"/>
    </row>
    <row r="32" spans="1:8">
      <c r="A32" s="232"/>
      <c r="B32" s="233"/>
      <c r="C32" s="234"/>
      <c r="D32" s="234"/>
      <c r="E32" s="232"/>
      <c r="F32" s="233"/>
      <c r="G32" s="234"/>
      <c r="H32" s="234"/>
    </row>
    <row r="33" spans="1:8">
      <c r="A33" s="232"/>
      <c r="B33" s="233"/>
      <c r="C33" s="234"/>
      <c r="D33" s="234"/>
      <c r="E33" s="232"/>
      <c r="F33" s="233"/>
      <c r="G33" s="234"/>
      <c r="H33" s="234"/>
    </row>
    <row r="34" spans="1:8">
      <c r="A34" s="232"/>
      <c r="B34" s="233"/>
      <c r="C34" s="234"/>
      <c r="D34" s="234"/>
      <c r="E34" s="232"/>
      <c r="F34" s="233"/>
      <c r="G34" s="234"/>
      <c r="H34" s="234"/>
    </row>
    <row r="35" spans="1:8">
      <c r="A35" s="232"/>
      <c r="B35" s="233"/>
      <c r="C35" s="235"/>
      <c r="D35" s="235"/>
      <c r="E35" s="236"/>
      <c r="F35" s="236"/>
      <c r="G35" s="237"/>
      <c r="H35" s="237"/>
    </row>
    <row r="36" spans="1:8">
      <c r="A36" s="109"/>
      <c r="B36" s="109"/>
      <c r="C36" s="109"/>
      <c r="D36" s="109"/>
      <c r="E36" s="109"/>
      <c r="F36" s="109"/>
      <c r="G36" s="109"/>
      <c r="H36" s="109"/>
    </row>
    <row r="46" ht="18" spans="1:8">
      <c r="A46" s="109"/>
      <c r="B46" s="109"/>
      <c r="C46" s="184" t="s">
        <v>0</v>
      </c>
      <c r="D46" s="184"/>
      <c r="E46" s="184"/>
      <c r="F46" s="184"/>
      <c r="G46" s="184"/>
      <c r="H46" s="184"/>
    </row>
    <row r="47" ht="18" spans="1:8">
      <c r="A47" s="185"/>
      <c r="B47" s="185"/>
      <c r="C47" s="186" t="s">
        <v>1</v>
      </c>
      <c r="D47" s="186"/>
      <c r="E47" s="186"/>
      <c r="F47" s="186"/>
      <c r="G47" s="186"/>
      <c r="H47" s="186"/>
    </row>
    <row r="48" ht="18" spans="1:8">
      <c r="A48" s="187"/>
      <c r="B48" s="187"/>
      <c r="C48" s="188" t="s">
        <v>2</v>
      </c>
      <c r="D48" s="188"/>
      <c r="E48" s="188"/>
      <c r="F48" s="188"/>
      <c r="G48" s="188"/>
      <c r="H48" s="188"/>
    </row>
    <row r="49" ht="15.75" spans="1:8">
      <c r="A49" s="187"/>
      <c r="B49" s="189"/>
      <c r="C49" s="190"/>
      <c r="D49" s="190"/>
      <c r="E49" s="190"/>
      <c r="F49" s="191"/>
      <c r="G49" s="192"/>
      <c r="H49" s="192"/>
    </row>
    <row r="50" ht="15.75" spans="1:8">
      <c r="A50" s="187"/>
      <c r="B50" s="189"/>
      <c r="C50" s="190"/>
      <c r="D50" s="190"/>
      <c r="E50" s="190"/>
      <c r="F50" s="193"/>
      <c r="G50" s="194"/>
      <c r="H50" s="195"/>
    </row>
    <row r="51" ht="15.75" spans="1:8">
      <c r="A51" s="196" t="s">
        <v>3</v>
      </c>
      <c r="B51" s="196" t="s">
        <v>32</v>
      </c>
      <c r="C51" s="196"/>
      <c r="D51" s="196"/>
      <c r="E51" s="196"/>
      <c r="F51" s="196" t="s">
        <v>5</v>
      </c>
      <c r="G51" s="197">
        <v>0.208333333333333</v>
      </c>
      <c r="H51" s="198"/>
    </row>
    <row r="52" spans="1:8">
      <c r="A52" s="196" t="s">
        <v>6</v>
      </c>
      <c r="B52" s="195" t="s">
        <v>10</v>
      </c>
      <c r="C52" s="196"/>
      <c r="D52" s="196"/>
      <c r="E52" s="196"/>
      <c r="F52" s="196" t="s">
        <v>8</v>
      </c>
      <c r="G52" s="199">
        <v>0.875</v>
      </c>
      <c r="H52" s="195"/>
    </row>
    <row r="53" spans="1:8">
      <c r="A53" s="196" t="s">
        <v>9</v>
      </c>
      <c r="B53" s="195" t="s">
        <v>33</v>
      </c>
      <c r="C53" s="196"/>
      <c r="D53" s="196"/>
      <c r="E53" s="196"/>
      <c r="F53" s="196"/>
      <c r="G53" s="196"/>
      <c r="H53" s="195"/>
    </row>
    <row r="54" ht="15.75" spans="1:8">
      <c r="A54" s="189"/>
      <c r="B54" s="195"/>
      <c r="C54" s="196"/>
      <c r="D54" s="196"/>
      <c r="E54" s="196"/>
      <c r="F54" s="196"/>
      <c r="G54" s="200"/>
      <c r="H54" s="201"/>
    </row>
    <row r="55" ht="15.75" spans="1:8">
      <c r="A55" s="202"/>
      <c r="B55" s="202"/>
      <c r="C55" s="202"/>
      <c r="D55" s="202"/>
      <c r="E55" s="202"/>
      <c r="F55" s="202"/>
      <c r="G55" s="202"/>
      <c r="H55" s="202"/>
    </row>
    <row r="56" ht="15.75" spans="1:8">
      <c r="A56" s="203" t="s">
        <v>11</v>
      </c>
      <c r="B56" s="203" t="s">
        <v>12</v>
      </c>
      <c r="C56" s="203" t="s">
        <v>13</v>
      </c>
      <c r="D56" s="203" t="s">
        <v>14</v>
      </c>
      <c r="E56" s="203" t="s">
        <v>15</v>
      </c>
      <c r="F56" s="203" t="s">
        <v>16</v>
      </c>
      <c r="G56" s="203" t="s">
        <v>17</v>
      </c>
      <c r="H56" s="203" t="s">
        <v>18</v>
      </c>
    </row>
    <row r="57" ht="15.75" spans="1:8">
      <c r="A57" s="204">
        <v>1</v>
      </c>
      <c r="B57" s="205" t="s">
        <v>19</v>
      </c>
      <c r="C57" s="206">
        <f>D12</f>
        <v>31100</v>
      </c>
      <c r="D57" s="206">
        <v>31607</v>
      </c>
      <c r="E57" s="206">
        <f>D57-C57</f>
        <v>507</v>
      </c>
      <c r="F57" s="207">
        <f>SUM(E57:E58)</f>
        <v>1090</v>
      </c>
      <c r="G57" s="208">
        <v>12200</v>
      </c>
      <c r="H57" s="209">
        <f>F57*G57</f>
        <v>13298000</v>
      </c>
    </row>
    <row r="58" ht="15.75" spans="1:8">
      <c r="A58" s="210"/>
      <c r="B58" s="205" t="s">
        <v>20</v>
      </c>
      <c r="C58" s="206">
        <f>D13</f>
        <v>32357</v>
      </c>
      <c r="D58" s="206">
        <v>32940</v>
      </c>
      <c r="E58" s="206">
        <f>D58-C58</f>
        <v>583</v>
      </c>
      <c r="F58" s="207"/>
      <c r="G58" s="211"/>
      <c r="H58" s="209"/>
    </row>
    <row r="59" ht="15.75" spans="1:8">
      <c r="A59" s="210"/>
      <c r="B59" s="205" t="s">
        <v>21</v>
      </c>
      <c r="C59" s="206">
        <f>D14</f>
        <v>6601</v>
      </c>
      <c r="D59" s="206">
        <v>6601</v>
      </c>
      <c r="E59" s="206">
        <f>D59-C59</f>
        <v>0</v>
      </c>
      <c r="F59" s="207">
        <f>E59:E60</f>
        <v>0</v>
      </c>
      <c r="G59" s="209">
        <v>14500</v>
      </c>
      <c r="H59" s="209">
        <f>G59*F59</f>
        <v>0</v>
      </c>
    </row>
    <row r="60" ht="15.75" spans="1:8">
      <c r="A60" s="212"/>
      <c r="B60" s="205" t="s">
        <v>22</v>
      </c>
      <c r="C60" s="206">
        <f>D15</f>
        <v>6619</v>
      </c>
      <c r="D60" s="206">
        <v>6619</v>
      </c>
      <c r="E60" s="206">
        <f>D60-C60</f>
        <v>0</v>
      </c>
      <c r="F60" s="207"/>
      <c r="G60" s="209"/>
      <c r="H60" s="209"/>
    </row>
    <row r="61" ht="15.75" spans="1:8">
      <c r="A61" s="213"/>
      <c r="B61" s="213"/>
      <c r="C61" s="213"/>
      <c r="D61" s="213"/>
      <c r="E61" s="213"/>
      <c r="F61" s="213"/>
      <c r="G61" s="189" t="s">
        <v>23</v>
      </c>
      <c r="H61" s="214">
        <f>H57+H59</f>
        <v>13298000</v>
      </c>
    </row>
    <row r="62" spans="1:8">
      <c r="A62" s="213" t="s">
        <v>24</v>
      </c>
      <c r="B62" s="215">
        <f>H71</f>
        <v>12720000</v>
      </c>
      <c r="C62" s="213"/>
      <c r="D62" s="213"/>
      <c r="E62" s="213"/>
      <c r="F62" s="213"/>
      <c r="G62" s="196" t="s">
        <v>25</v>
      </c>
      <c r="H62" s="216">
        <v>12000000</v>
      </c>
    </row>
    <row r="63" ht="15.75" spans="1:8">
      <c r="A63" s="213" t="s">
        <v>26</v>
      </c>
      <c r="B63" s="217">
        <v>5000</v>
      </c>
      <c r="C63" s="202"/>
      <c r="D63" s="213"/>
      <c r="E63" s="213"/>
      <c r="F63" s="213"/>
      <c r="G63" s="196" t="s">
        <v>27</v>
      </c>
      <c r="H63" s="218">
        <v>573000</v>
      </c>
    </row>
    <row r="64" ht="15.75" spans="1:8">
      <c r="A64" s="219" t="s">
        <v>18</v>
      </c>
      <c r="B64" s="215">
        <f>SUM(B62:B63)</f>
        <v>12725000</v>
      </c>
      <c r="C64" s="213"/>
      <c r="D64" s="213"/>
      <c r="E64" s="213"/>
      <c r="F64" s="213"/>
      <c r="G64" s="200" t="s">
        <v>28</v>
      </c>
      <c r="H64" s="220">
        <f>H61-H62-H63</f>
        <v>725000</v>
      </c>
    </row>
    <row r="65" ht="15.75" spans="1:8">
      <c r="A65" s="202"/>
      <c r="C65" s="202"/>
      <c r="D65" s="202"/>
      <c r="E65" s="202"/>
      <c r="F65" s="202"/>
      <c r="G65" s="202"/>
      <c r="H65" s="202"/>
    </row>
    <row r="66" ht="15.75" spans="1:8">
      <c r="A66" s="202"/>
      <c r="B66" s="202"/>
      <c r="C66" s="202"/>
      <c r="D66" s="202"/>
      <c r="E66" s="202"/>
      <c r="F66" s="202"/>
      <c r="G66" s="202"/>
      <c r="H66" s="202"/>
    </row>
    <row r="67" ht="15.75" spans="1:8">
      <c r="A67" s="221" t="s">
        <v>23</v>
      </c>
      <c r="B67" s="222"/>
      <c r="C67" s="202"/>
      <c r="D67" s="202"/>
      <c r="E67" s="202"/>
      <c r="F67" s="202"/>
      <c r="G67" s="202"/>
      <c r="H67" s="202"/>
    </row>
    <row r="68" ht="15.75" spans="1:8">
      <c r="A68" s="205" t="s">
        <v>29</v>
      </c>
      <c r="B68" s="223">
        <f>F57</f>
        <v>1090</v>
      </c>
      <c r="C68" s="202"/>
      <c r="D68" s="202"/>
      <c r="E68" s="202"/>
      <c r="F68" s="224" t="s">
        <v>30</v>
      </c>
      <c r="G68" s="224"/>
      <c r="H68" s="225">
        <f>H61</f>
        <v>13298000</v>
      </c>
    </row>
    <row r="69" ht="15.75" spans="1:8">
      <c r="A69" s="205" t="s">
        <v>31</v>
      </c>
      <c r="B69" s="223">
        <f>F59</f>
        <v>0</v>
      </c>
      <c r="C69" s="202"/>
      <c r="D69" s="202"/>
      <c r="E69" s="202"/>
      <c r="F69" s="224" t="s">
        <v>27</v>
      </c>
      <c r="G69" s="224"/>
      <c r="H69" s="225">
        <f>H63</f>
        <v>573000</v>
      </c>
    </row>
    <row r="70" ht="15.75" spans="1:8">
      <c r="A70" s="189"/>
      <c r="B70" s="226"/>
      <c r="C70" s="202"/>
      <c r="D70" s="202"/>
      <c r="E70" s="202"/>
      <c r="F70" s="224" t="s">
        <v>26</v>
      </c>
      <c r="G70" s="224"/>
      <c r="H70" s="227">
        <f>B63</f>
        <v>5000</v>
      </c>
    </row>
    <row r="71" ht="15.75" spans="1:8">
      <c r="A71" s="228"/>
      <c r="B71" s="226"/>
      <c r="C71" s="202"/>
      <c r="D71" s="202"/>
      <c r="E71" s="202"/>
      <c r="F71" s="224" t="s">
        <v>28</v>
      </c>
      <c r="G71" s="224"/>
      <c r="H71" s="225">
        <f>H68-H69-H70</f>
        <v>12720000</v>
      </c>
    </row>
    <row r="73" ht="15.75" spans="1:8">
      <c r="A73" s="229"/>
      <c r="B73" s="230"/>
      <c r="C73" s="230"/>
      <c r="D73" s="230"/>
      <c r="E73" s="229"/>
      <c r="F73" s="231"/>
      <c r="G73" s="230"/>
      <c r="H73" s="230"/>
    </row>
    <row r="74" spans="1:8">
      <c r="A74" s="232"/>
      <c r="B74" s="233"/>
      <c r="C74" s="234"/>
      <c r="D74" s="234"/>
      <c r="E74" s="232"/>
      <c r="F74" s="233"/>
      <c r="G74" s="234"/>
      <c r="H74" s="234"/>
    </row>
    <row r="75" spans="1:8">
      <c r="A75" s="232"/>
      <c r="B75" s="233"/>
      <c r="C75" s="234"/>
      <c r="D75" s="234"/>
      <c r="E75" s="232"/>
      <c r="F75" s="233"/>
      <c r="G75" s="234"/>
      <c r="H75" s="234"/>
    </row>
    <row r="76" spans="1:8">
      <c r="A76" s="232"/>
      <c r="B76" s="233"/>
      <c r="C76" s="234"/>
      <c r="D76" s="234"/>
      <c r="E76" s="232"/>
      <c r="F76" s="233"/>
      <c r="G76" s="234"/>
      <c r="H76" s="234"/>
    </row>
    <row r="77" spans="1:8">
      <c r="A77" s="232"/>
      <c r="B77" s="233"/>
      <c r="C77" s="234"/>
      <c r="D77" s="234"/>
      <c r="E77" s="232"/>
      <c r="F77" s="233"/>
      <c r="G77" s="234"/>
      <c r="H77" s="234"/>
    </row>
    <row r="78" spans="1:8">
      <c r="A78" s="232"/>
      <c r="B78" s="233"/>
      <c r="C78" s="234"/>
      <c r="D78" s="234"/>
      <c r="E78" s="232"/>
      <c r="F78" s="233"/>
      <c r="G78" s="234"/>
      <c r="H78" s="234"/>
    </row>
    <row r="79" spans="1:8">
      <c r="A79" s="232"/>
      <c r="B79" s="233"/>
      <c r="C79" s="234"/>
      <c r="D79" s="234"/>
      <c r="E79" s="232"/>
      <c r="F79" s="233"/>
      <c r="G79" s="234"/>
      <c r="H79" s="234"/>
    </row>
    <row r="80" spans="1:8">
      <c r="A80" s="232"/>
      <c r="B80" s="233"/>
      <c r="C80" s="235"/>
      <c r="D80" s="235"/>
      <c r="E80" s="236"/>
      <c r="F80" s="236"/>
      <c r="G80" s="237"/>
      <c r="H80" s="237"/>
    </row>
    <row r="81" spans="1:8">
      <c r="A81" s="109"/>
      <c r="B81" s="109"/>
      <c r="C81" s="109"/>
      <c r="D81" s="109"/>
      <c r="E81" s="109"/>
      <c r="F81" s="109"/>
      <c r="G81" s="109"/>
      <c r="H81" s="109"/>
    </row>
    <row r="91" ht="18" spans="1:8">
      <c r="A91" s="109"/>
      <c r="B91" s="109"/>
      <c r="C91" s="184" t="s">
        <v>0</v>
      </c>
      <c r="D91" s="184"/>
      <c r="E91" s="184"/>
      <c r="F91" s="184"/>
      <c r="G91" s="184"/>
      <c r="H91" s="184"/>
    </row>
    <row r="92" ht="18" spans="1:8">
      <c r="A92" s="185"/>
      <c r="B92" s="185"/>
      <c r="C92" s="186" t="s">
        <v>1</v>
      </c>
      <c r="D92" s="186"/>
      <c r="E92" s="186"/>
      <c r="F92" s="186"/>
      <c r="G92" s="186"/>
      <c r="H92" s="186"/>
    </row>
    <row r="93" ht="18" spans="1:8">
      <c r="A93" s="187"/>
      <c r="B93" s="187"/>
      <c r="C93" s="188" t="s">
        <v>2</v>
      </c>
      <c r="D93" s="188"/>
      <c r="E93" s="188"/>
      <c r="F93" s="188"/>
      <c r="G93" s="188"/>
      <c r="H93" s="188"/>
    </row>
    <row r="94" ht="15.75" spans="1:8">
      <c r="A94" s="187"/>
      <c r="B94" s="189"/>
      <c r="C94" s="190"/>
      <c r="D94" s="190"/>
      <c r="E94" s="190"/>
      <c r="F94" s="191"/>
      <c r="G94" s="192"/>
      <c r="H94" s="192"/>
    </row>
    <row r="95" ht="15.75" spans="1:8">
      <c r="A95" s="187"/>
      <c r="B95" s="189"/>
      <c r="C95" s="190"/>
      <c r="D95" s="190"/>
      <c r="E95" s="190"/>
      <c r="F95" s="193"/>
      <c r="G95" s="194"/>
      <c r="H95" s="195"/>
    </row>
    <row r="96" ht="15.75" spans="1:8">
      <c r="A96" s="196" t="s">
        <v>3</v>
      </c>
      <c r="B96" s="196" t="s">
        <v>34</v>
      </c>
      <c r="C96" s="196"/>
      <c r="D96" s="196"/>
      <c r="E96" s="196"/>
      <c r="F96" s="196" t="s">
        <v>5</v>
      </c>
      <c r="G96" s="197">
        <v>0.208333333333333</v>
      </c>
      <c r="H96" s="198"/>
    </row>
    <row r="97" spans="1:8">
      <c r="A97" s="196" t="s">
        <v>6</v>
      </c>
      <c r="B97" s="195" t="s">
        <v>7</v>
      </c>
      <c r="C97" s="196"/>
      <c r="D97" s="196"/>
      <c r="E97" s="196"/>
      <c r="F97" s="196" t="s">
        <v>8</v>
      </c>
      <c r="G97" s="199">
        <v>0.875</v>
      </c>
      <c r="H97" s="195"/>
    </row>
    <row r="98" spans="1:8">
      <c r="A98" s="196" t="s">
        <v>9</v>
      </c>
      <c r="B98" s="195" t="s">
        <v>33</v>
      </c>
      <c r="C98" s="196"/>
      <c r="D98" s="196"/>
      <c r="E98" s="196"/>
      <c r="F98" s="196"/>
      <c r="G98" s="196"/>
      <c r="H98" s="195"/>
    </row>
    <row r="99" ht="15.75" spans="1:8">
      <c r="A99" s="189"/>
      <c r="B99" s="195"/>
      <c r="C99" s="196"/>
      <c r="D99" s="196"/>
      <c r="E99" s="196"/>
      <c r="F99" s="196"/>
      <c r="G99" s="200"/>
      <c r="H99" s="201"/>
    </row>
    <row r="100" ht="15.75" spans="1:8">
      <c r="A100" s="202"/>
      <c r="B100" s="202"/>
      <c r="C100" s="202"/>
      <c r="D100" s="202"/>
      <c r="E100" s="202"/>
      <c r="F100" s="202"/>
      <c r="G100" s="202"/>
      <c r="H100" s="202"/>
    </row>
    <row r="101" ht="15.75" spans="1:8">
      <c r="A101" s="203" t="s">
        <v>11</v>
      </c>
      <c r="B101" s="203" t="s">
        <v>12</v>
      </c>
      <c r="C101" s="203" t="s">
        <v>13</v>
      </c>
      <c r="D101" s="203" t="s">
        <v>14</v>
      </c>
      <c r="E101" s="203" t="s">
        <v>15</v>
      </c>
      <c r="F101" s="203" t="s">
        <v>16</v>
      </c>
      <c r="G101" s="203" t="s">
        <v>17</v>
      </c>
      <c r="H101" s="203" t="s">
        <v>18</v>
      </c>
    </row>
    <row r="102" ht="15.75" spans="1:8">
      <c r="A102" s="204">
        <v>1</v>
      </c>
      <c r="B102" s="205" t="s">
        <v>19</v>
      </c>
      <c r="C102" s="206">
        <f>D57</f>
        <v>31607</v>
      </c>
      <c r="D102" s="206">
        <v>32079</v>
      </c>
      <c r="E102" s="206">
        <f>D102-C102</f>
        <v>472</v>
      </c>
      <c r="F102" s="207">
        <f>SUM(E102:E103)</f>
        <v>939</v>
      </c>
      <c r="G102" s="208">
        <v>12200</v>
      </c>
      <c r="H102" s="209">
        <f>F102*G102</f>
        <v>11455800</v>
      </c>
    </row>
    <row r="103" ht="15.75" spans="1:8">
      <c r="A103" s="210"/>
      <c r="B103" s="205" t="s">
        <v>20</v>
      </c>
      <c r="C103" s="206">
        <f>D58</f>
        <v>32940</v>
      </c>
      <c r="D103" s="206">
        <v>33407</v>
      </c>
      <c r="E103" s="206">
        <f>D103-C103</f>
        <v>467</v>
      </c>
      <c r="F103" s="207"/>
      <c r="G103" s="211"/>
      <c r="H103" s="209"/>
    </row>
    <row r="104" ht="15.75" spans="1:8">
      <c r="A104" s="210"/>
      <c r="B104" s="205" t="s">
        <v>21</v>
      </c>
      <c r="C104" s="206">
        <f>D59</f>
        <v>6601</v>
      </c>
      <c r="D104" s="206">
        <v>6608</v>
      </c>
      <c r="E104" s="206">
        <f>D104-C104</f>
        <v>7</v>
      </c>
      <c r="F104" s="207">
        <f>SUM(E104:E105)</f>
        <v>63</v>
      </c>
      <c r="G104" s="209">
        <v>14500</v>
      </c>
      <c r="H104" s="209">
        <f>G104*F104</f>
        <v>913500</v>
      </c>
    </row>
    <row r="105" ht="15.75" spans="1:8">
      <c r="A105" s="212"/>
      <c r="B105" s="205" t="s">
        <v>22</v>
      </c>
      <c r="C105" s="206">
        <f>D60</f>
        <v>6619</v>
      </c>
      <c r="D105" s="206">
        <v>6675</v>
      </c>
      <c r="E105" s="206">
        <f>D105-C105</f>
        <v>56</v>
      </c>
      <c r="F105" s="207"/>
      <c r="G105" s="209"/>
      <c r="H105" s="209"/>
    </row>
    <row r="106" ht="15.75" spans="1:8">
      <c r="A106" s="213"/>
      <c r="B106" s="213"/>
      <c r="C106" s="213"/>
      <c r="D106" s="213"/>
      <c r="E106" s="213"/>
      <c r="F106" s="213"/>
      <c r="G106" s="189" t="s">
        <v>23</v>
      </c>
      <c r="H106" s="214">
        <f>H102+H104</f>
        <v>12369300</v>
      </c>
    </row>
    <row r="107" spans="1:8">
      <c r="A107" s="213" t="s">
        <v>24</v>
      </c>
      <c r="B107" s="215">
        <v>12205000</v>
      </c>
      <c r="C107" s="213" t="s">
        <v>35</v>
      </c>
      <c r="D107" s="213"/>
      <c r="E107" s="213"/>
      <c r="F107" s="213"/>
      <c r="G107" s="196" t="s">
        <v>25</v>
      </c>
      <c r="H107" s="216">
        <v>12000000</v>
      </c>
    </row>
    <row r="108" ht="15.75" spans="1:8">
      <c r="A108" s="213" t="s">
        <v>26</v>
      </c>
      <c r="B108" s="217">
        <v>3500</v>
      </c>
      <c r="C108" s="202"/>
      <c r="D108" s="213"/>
      <c r="E108" s="213"/>
      <c r="F108" s="213"/>
      <c r="G108" s="196" t="s">
        <v>27</v>
      </c>
      <c r="H108" s="218">
        <v>161000</v>
      </c>
    </row>
    <row r="109" ht="15.75" spans="1:8">
      <c r="A109" s="219" t="s">
        <v>18</v>
      </c>
      <c r="B109" s="215">
        <f>SUM(B107:B108)</f>
        <v>12208500</v>
      </c>
      <c r="C109" s="213"/>
      <c r="D109" s="213"/>
      <c r="E109" s="213"/>
      <c r="F109" s="213"/>
      <c r="G109" s="200" t="s">
        <v>28</v>
      </c>
      <c r="H109" s="220">
        <f>H106-H107-H108</f>
        <v>208300</v>
      </c>
    </row>
    <row r="110" ht="15.75" spans="1:8">
      <c r="A110" s="202"/>
      <c r="C110" s="202"/>
      <c r="D110" s="202"/>
      <c r="E110" s="202"/>
      <c r="F110" s="202"/>
      <c r="G110" s="202"/>
      <c r="H110" s="202"/>
    </row>
    <row r="111" ht="15.75" spans="1:8">
      <c r="A111" s="202"/>
      <c r="B111" s="202"/>
      <c r="C111" s="202"/>
      <c r="D111" s="202"/>
      <c r="E111" s="202"/>
      <c r="F111" s="202"/>
      <c r="G111" s="202"/>
      <c r="H111" s="202"/>
    </row>
    <row r="112" ht="15.75" spans="1:8">
      <c r="A112" s="221" t="s">
        <v>23</v>
      </c>
      <c r="B112" s="222"/>
      <c r="C112" s="202"/>
      <c r="D112" s="202"/>
      <c r="E112" s="202"/>
      <c r="F112" s="202"/>
      <c r="G112" s="202"/>
      <c r="H112" s="202"/>
    </row>
    <row r="113" ht="15.75" spans="1:8">
      <c r="A113" s="205" t="s">
        <v>29</v>
      </c>
      <c r="B113" s="223">
        <f>F102</f>
        <v>939</v>
      </c>
      <c r="C113" s="202"/>
      <c r="D113" s="202"/>
      <c r="E113" s="202"/>
      <c r="F113" s="224" t="s">
        <v>30</v>
      </c>
      <c r="G113" s="224"/>
      <c r="H113" s="225">
        <v>12369500</v>
      </c>
    </row>
    <row r="114" ht="15.75" spans="1:8">
      <c r="A114" s="205" t="s">
        <v>31</v>
      </c>
      <c r="B114" s="223">
        <f>F104</f>
        <v>63</v>
      </c>
      <c r="C114" s="202"/>
      <c r="D114" s="202"/>
      <c r="E114" s="202"/>
      <c r="F114" s="224" t="s">
        <v>27</v>
      </c>
      <c r="G114" s="224"/>
      <c r="H114" s="225">
        <f>H108</f>
        <v>161000</v>
      </c>
    </row>
    <row r="115" ht="15.75" spans="1:8">
      <c r="A115" s="189"/>
      <c r="B115" s="226"/>
      <c r="C115" s="202" t="s">
        <v>35</v>
      </c>
      <c r="D115" s="202"/>
      <c r="E115" s="202"/>
      <c r="F115" s="224" t="s">
        <v>26</v>
      </c>
      <c r="G115" s="224"/>
      <c r="H115" s="227">
        <f>B108</f>
        <v>3500</v>
      </c>
    </row>
    <row r="116" ht="15.75" spans="1:8">
      <c r="A116" s="228"/>
      <c r="B116" s="226"/>
      <c r="C116" s="202"/>
      <c r="D116" s="202"/>
      <c r="E116" s="202"/>
      <c r="F116" s="224" t="s">
        <v>28</v>
      </c>
      <c r="G116" s="224"/>
      <c r="H116" s="225">
        <f>H113-H114-H115</f>
        <v>12205000</v>
      </c>
    </row>
    <row r="118" ht="15.75" spans="1:8">
      <c r="A118" s="229"/>
      <c r="B118" s="230"/>
      <c r="C118" s="230"/>
      <c r="D118" s="230"/>
      <c r="E118" s="229"/>
      <c r="F118" s="231"/>
      <c r="G118" s="230"/>
      <c r="H118" s="230"/>
    </row>
    <row r="119" spans="1:8">
      <c r="A119" s="232"/>
      <c r="B119" s="233"/>
      <c r="C119" s="234"/>
      <c r="D119" s="234"/>
      <c r="E119" s="232"/>
      <c r="F119" s="233"/>
      <c r="G119" s="234"/>
      <c r="H119" s="234"/>
    </row>
    <row r="120" spans="1:8">
      <c r="A120" s="232"/>
      <c r="B120" s="233"/>
      <c r="C120" s="234"/>
      <c r="D120" s="234"/>
      <c r="E120" s="232"/>
      <c r="F120" s="233"/>
      <c r="G120" s="234"/>
      <c r="H120" s="234"/>
    </row>
    <row r="121" spans="1:8">
      <c r="A121" s="232"/>
      <c r="B121" s="233"/>
      <c r="C121" s="234"/>
      <c r="D121" s="234"/>
      <c r="E121" s="232"/>
      <c r="F121" s="233"/>
      <c r="G121" s="234"/>
      <c r="H121" s="234"/>
    </row>
    <row r="122" spans="1:8">
      <c r="A122" s="232"/>
      <c r="B122" s="233"/>
      <c r="C122" s="234"/>
      <c r="D122" s="234"/>
      <c r="E122" s="232"/>
      <c r="F122" s="233"/>
      <c r="G122" s="234"/>
      <c r="H122" s="234"/>
    </row>
    <row r="123" spans="1:8">
      <c r="A123" s="232"/>
      <c r="B123" s="233"/>
      <c r="C123" s="234"/>
      <c r="D123" s="234"/>
      <c r="E123" s="232"/>
      <c r="F123" s="233"/>
      <c r="G123" s="234"/>
      <c r="H123" s="234"/>
    </row>
    <row r="124" spans="1:8">
      <c r="A124" s="232"/>
      <c r="B124" s="233"/>
      <c r="C124" s="234"/>
      <c r="D124" s="234"/>
      <c r="E124" s="232"/>
      <c r="F124" s="233"/>
      <c r="G124" s="234"/>
      <c r="H124" s="234"/>
    </row>
    <row r="125" spans="1:8">
      <c r="A125" s="232"/>
      <c r="B125" s="233"/>
      <c r="C125" s="235"/>
      <c r="D125" s="235"/>
      <c r="E125" s="236"/>
      <c r="F125" s="236"/>
      <c r="G125" s="237"/>
      <c r="H125" s="237"/>
    </row>
    <row r="126" spans="1:8">
      <c r="A126" s="109"/>
      <c r="B126" s="109"/>
      <c r="C126" s="109"/>
      <c r="D126" s="109"/>
      <c r="E126" s="109"/>
      <c r="F126" s="109"/>
      <c r="G126" s="109"/>
      <c r="H126" s="109"/>
    </row>
    <row r="136" ht="18" spans="1:8">
      <c r="A136" s="109"/>
      <c r="B136" s="109"/>
      <c r="C136" s="184" t="s">
        <v>0</v>
      </c>
      <c r="D136" s="184"/>
      <c r="E136" s="184"/>
      <c r="F136" s="184"/>
      <c r="G136" s="184"/>
      <c r="H136" s="184"/>
    </row>
    <row r="137" ht="18" spans="1:8">
      <c r="A137" s="185"/>
      <c r="B137" s="185"/>
      <c r="C137" s="186" t="s">
        <v>1</v>
      </c>
      <c r="D137" s="186"/>
      <c r="E137" s="186"/>
      <c r="F137" s="186"/>
      <c r="G137" s="186"/>
      <c r="H137" s="186"/>
    </row>
    <row r="138" ht="18" spans="1:8">
      <c r="A138" s="187"/>
      <c r="B138" s="187"/>
      <c r="C138" s="188" t="s">
        <v>2</v>
      </c>
      <c r="D138" s="188"/>
      <c r="E138" s="188"/>
      <c r="F138" s="188"/>
      <c r="G138" s="188"/>
      <c r="H138" s="188"/>
    </row>
    <row r="139" ht="15.75" spans="1:8">
      <c r="A139" s="187"/>
      <c r="B139" s="189"/>
      <c r="C139" s="190"/>
      <c r="D139" s="190"/>
      <c r="E139" s="190"/>
      <c r="F139" s="191"/>
      <c r="G139" s="192"/>
      <c r="H139" s="192"/>
    </row>
    <row r="140" ht="15.75" spans="1:8">
      <c r="A140" s="187"/>
      <c r="B140" s="189"/>
      <c r="C140" s="190"/>
      <c r="D140" s="190"/>
      <c r="E140" s="190"/>
      <c r="F140" s="193"/>
      <c r="G140" s="194"/>
      <c r="H140" s="195"/>
    </row>
    <row r="141" ht="15.75" spans="1:8">
      <c r="A141" s="196" t="s">
        <v>3</v>
      </c>
      <c r="B141" s="196" t="s">
        <v>36</v>
      </c>
      <c r="C141" s="196"/>
      <c r="D141" s="196"/>
      <c r="E141" s="196"/>
      <c r="F141" s="196" t="s">
        <v>5</v>
      </c>
      <c r="G141" s="197">
        <v>0.208333333333333</v>
      </c>
      <c r="H141" s="198"/>
    </row>
    <row r="142" spans="1:8">
      <c r="A142" s="196" t="s">
        <v>6</v>
      </c>
      <c r="B142" s="195" t="s">
        <v>10</v>
      </c>
      <c r="C142" s="196"/>
      <c r="D142" s="196"/>
      <c r="E142" s="196"/>
      <c r="F142" s="196" t="s">
        <v>8</v>
      </c>
      <c r="G142" s="199">
        <v>0.875</v>
      </c>
      <c r="H142" s="195"/>
    </row>
    <row r="143" spans="1:8">
      <c r="A143" s="196" t="s">
        <v>9</v>
      </c>
      <c r="B143" s="195" t="s">
        <v>33</v>
      </c>
      <c r="C143" s="196"/>
      <c r="D143" s="196"/>
      <c r="E143" s="196"/>
      <c r="F143" s="196"/>
      <c r="G143" s="196"/>
      <c r="H143" s="195"/>
    </row>
    <row r="144" ht="15.75" spans="1:8">
      <c r="A144" s="189"/>
      <c r="B144" s="195"/>
      <c r="C144" s="196"/>
      <c r="D144" s="196"/>
      <c r="E144" s="196"/>
      <c r="F144" s="196"/>
      <c r="G144" s="200"/>
      <c r="H144" s="201"/>
    </row>
    <row r="145" ht="15.75" spans="1:8">
      <c r="A145" s="202"/>
      <c r="B145" s="202"/>
      <c r="C145" s="202"/>
      <c r="D145" s="202"/>
      <c r="E145" s="202"/>
      <c r="F145" s="202"/>
      <c r="G145" s="202"/>
      <c r="H145" s="202"/>
    </row>
    <row r="146" ht="15.75" spans="1:8">
      <c r="A146" s="203" t="s">
        <v>11</v>
      </c>
      <c r="B146" s="203" t="s">
        <v>12</v>
      </c>
      <c r="C146" s="203" t="s">
        <v>13</v>
      </c>
      <c r="D146" s="203" t="s">
        <v>14</v>
      </c>
      <c r="E146" s="203" t="s">
        <v>15</v>
      </c>
      <c r="F146" s="203" t="s">
        <v>16</v>
      </c>
      <c r="G146" s="203" t="s">
        <v>17</v>
      </c>
      <c r="H146" s="203" t="s">
        <v>18</v>
      </c>
    </row>
    <row r="147" ht="15.75" spans="1:8">
      <c r="A147" s="204">
        <v>1</v>
      </c>
      <c r="B147" s="205" t="s">
        <v>19</v>
      </c>
      <c r="C147" s="206">
        <f>D102</f>
        <v>32079</v>
      </c>
      <c r="D147" s="206">
        <v>32556</v>
      </c>
      <c r="E147" s="206">
        <f>D147-C147</f>
        <v>477</v>
      </c>
      <c r="F147" s="207">
        <f>SUM(E147:E148)</f>
        <v>949</v>
      </c>
      <c r="G147" s="208">
        <v>12200</v>
      </c>
      <c r="H147" s="209">
        <f>F147*G147</f>
        <v>11577800</v>
      </c>
    </row>
    <row r="148" ht="15.75" spans="1:8">
      <c r="A148" s="210"/>
      <c r="B148" s="205" t="s">
        <v>20</v>
      </c>
      <c r="C148" s="206">
        <f>D103</f>
        <v>33407</v>
      </c>
      <c r="D148" s="206">
        <v>33879</v>
      </c>
      <c r="E148" s="206">
        <f>D148-C148</f>
        <v>472</v>
      </c>
      <c r="F148" s="207"/>
      <c r="G148" s="211"/>
      <c r="H148" s="209"/>
    </row>
    <row r="149" ht="15.75" spans="1:8">
      <c r="A149" s="210"/>
      <c r="B149" s="205" t="s">
        <v>21</v>
      </c>
      <c r="C149" s="206">
        <f>D104</f>
        <v>6608</v>
      </c>
      <c r="D149" s="206">
        <v>6608</v>
      </c>
      <c r="E149" s="206">
        <f>D149-C149</f>
        <v>0</v>
      </c>
      <c r="F149" s="207">
        <f>SUM(E149:E150)</f>
        <v>25</v>
      </c>
      <c r="G149" s="209">
        <v>14500</v>
      </c>
      <c r="H149" s="209">
        <f>G149*F149</f>
        <v>362500</v>
      </c>
    </row>
    <row r="150" ht="15.75" spans="1:8">
      <c r="A150" s="212"/>
      <c r="B150" s="205" t="s">
        <v>22</v>
      </c>
      <c r="C150" s="206">
        <f>D105</f>
        <v>6675</v>
      </c>
      <c r="D150" s="206">
        <v>6700</v>
      </c>
      <c r="E150" s="206">
        <f>D150-C150</f>
        <v>25</v>
      </c>
      <c r="F150" s="207"/>
      <c r="G150" s="209"/>
      <c r="H150" s="209"/>
    </row>
    <row r="151" ht="15.75" spans="1:8">
      <c r="A151" s="213"/>
      <c r="B151" s="213"/>
      <c r="C151" s="213"/>
      <c r="D151" s="213"/>
      <c r="E151" s="213"/>
      <c r="F151" s="213"/>
      <c r="G151" s="189" t="s">
        <v>23</v>
      </c>
      <c r="H151" s="214">
        <f>H147+H149</f>
        <v>11940300</v>
      </c>
    </row>
    <row r="152" spans="1:8">
      <c r="A152" s="213" t="s">
        <v>24</v>
      </c>
      <c r="B152" s="215">
        <f>H161</f>
        <v>11720000</v>
      </c>
      <c r="C152" s="213"/>
      <c r="D152" s="213"/>
      <c r="E152" s="213"/>
      <c r="F152" s="213"/>
      <c r="G152" s="196" t="s">
        <v>25</v>
      </c>
      <c r="H152" s="216">
        <v>11000000</v>
      </c>
    </row>
    <row r="153" ht="15.75" spans="1:8">
      <c r="A153" s="213" t="s">
        <v>26</v>
      </c>
      <c r="B153" s="217">
        <v>7400</v>
      </c>
      <c r="C153" s="202"/>
      <c r="D153" s="213"/>
      <c r="E153" s="213"/>
      <c r="F153" s="213"/>
      <c r="G153" s="196" t="s">
        <v>27</v>
      </c>
      <c r="H153" s="218">
        <v>213000</v>
      </c>
    </row>
    <row r="154" ht="15.75" spans="1:8">
      <c r="A154" s="219" t="s">
        <v>18</v>
      </c>
      <c r="B154" s="215">
        <f>SUM(B152:B153)</f>
        <v>11727400</v>
      </c>
      <c r="C154" s="213"/>
      <c r="D154" s="213"/>
      <c r="E154" s="213"/>
      <c r="F154" s="213"/>
      <c r="G154" s="200" t="s">
        <v>28</v>
      </c>
      <c r="H154" s="220">
        <f>H151-H152-H153</f>
        <v>727300</v>
      </c>
    </row>
    <row r="155" ht="15.75" spans="1:8">
      <c r="A155" s="202"/>
      <c r="C155" s="202"/>
      <c r="D155" s="202"/>
      <c r="E155" s="202"/>
      <c r="F155" s="202"/>
      <c r="G155" s="202"/>
      <c r="H155" s="202"/>
    </row>
    <row r="156" ht="15.75" spans="1:8">
      <c r="A156" s="202"/>
      <c r="B156" s="202"/>
      <c r="C156" s="202"/>
      <c r="D156" s="202"/>
      <c r="E156" s="202"/>
      <c r="F156" s="202"/>
      <c r="G156" s="202"/>
      <c r="H156" s="202"/>
    </row>
    <row r="157" ht="15.75" spans="1:8">
      <c r="A157" s="221" t="s">
        <v>23</v>
      </c>
      <c r="B157" s="222"/>
      <c r="C157" s="202"/>
      <c r="D157" s="202"/>
      <c r="E157" s="202"/>
      <c r="F157" s="202"/>
      <c r="G157" s="202"/>
      <c r="H157" s="202"/>
    </row>
    <row r="158" ht="15.75" spans="1:8">
      <c r="A158" s="205" t="s">
        <v>29</v>
      </c>
      <c r="B158" s="223">
        <f>F147</f>
        <v>949</v>
      </c>
      <c r="C158" s="202"/>
      <c r="D158" s="202"/>
      <c r="E158" s="202"/>
      <c r="F158" s="224" t="s">
        <v>30</v>
      </c>
      <c r="G158" s="224"/>
      <c r="H158" s="225">
        <v>11940400</v>
      </c>
    </row>
    <row r="159" ht="15.75" spans="1:8">
      <c r="A159" s="205" t="s">
        <v>31</v>
      </c>
      <c r="B159" s="223">
        <f>F149</f>
        <v>25</v>
      </c>
      <c r="C159" s="202"/>
      <c r="D159" s="202"/>
      <c r="E159" s="202"/>
      <c r="F159" s="224" t="s">
        <v>27</v>
      </c>
      <c r="G159" s="224"/>
      <c r="H159" s="225">
        <f>H153</f>
        <v>213000</v>
      </c>
    </row>
    <row r="160" ht="15.75" spans="1:8">
      <c r="A160" s="189"/>
      <c r="B160" s="226"/>
      <c r="C160" s="202"/>
      <c r="D160" s="202"/>
      <c r="E160" s="202"/>
      <c r="F160" s="224" t="s">
        <v>26</v>
      </c>
      <c r="G160" s="224"/>
      <c r="H160" s="227">
        <v>7400</v>
      </c>
    </row>
    <row r="161" ht="15.75" spans="1:8">
      <c r="A161" s="228"/>
      <c r="B161" s="226"/>
      <c r="C161" s="202"/>
      <c r="D161" s="202"/>
      <c r="E161" s="202"/>
      <c r="F161" s="224" t="s">
        <v>28</v>
      </c>
      <c r="G161" s="224"/>
      <c r="H161" s="225">
        <f>H158-H159-H160</f>
        <v>11720000</v>
      </c>
    </row>
    <row r="163" ht="15.75" spans="1:8">
      <c r="A163" s="229"/>
      <c r="B163" s="230"/>
      <c r="C163" s="230"/>
      <c r="D163" s="230"/>
      <c r="E163" s="229"/>
      <c r="F163" s="231"/>
      <c r="G163" s="230"/>
      <c r="H163" s="230"/>
    </row>
    <row r="164" spans="1:8">
      <c r="A164" s="232"/>
      <c r="B164" s="233"/>
      <c r="C164" s="234"/>
      <c r="D164" s="234"/>
      <c r="E164" s="232"/>
      <c r="F164" s="233"/>
      <c r="G164" s="234"/>
      <c r="H164" s="234"/>
    </row>
    <row r="165" spans="1:8">
      <c r="A165" s="232"/>
      <c r="B165" s="233"/>
      <c r="C165" s="234"/>
      <c r="D165" s="234"/>
      <c r="E165" s="232"/>
      <c r="F165" s="233"/>
      <c r="G165" s="234"/>
      <c r="H165" s="234"/>
    </row>
    <row r="166" spans="1:8">
      <c r="A166" s="232"/>
      <c r="B166" s="233"/>
      <c r="C166" s="234"/>
      <c r="D166" s="234"/>
      <c r="E166" s="232"/>
      <c r="F166" s="233"/>
      <c r="G166" s="234"/>
      <c r="H166" s="234"/>
    </row>
    <row r="167" spans="1:8">
      <c r="A167" s="232"/>
      <c r="B167" s="233"/>
      <c r="C167" s="234"/>
      <c r="D167" s="234"/>
      <c r="E167" s="232"/>
      <c r="F167" s="233"/>
      <c r="G167" s="234"/>
      <c r="H167" s="234"/>
    </row>
    <row r="168" spans="1:8">
      <c r="A168" s="232"/>
      <c r="B168" s="233"/>
      <c r="C168" s="234"/>
      <c r="D168" s="234"/>
      <c r="E168" s="232"/>
      <c r="F168" s="233"/>
      <c r="G168" s="234"/>
      <c r="H168" s="234"/>
    </row>
    <row r="169" spans="1:8">
      <c r="A169" s="232"/>
      <c r="B169" s="233"/>
      <c r="C169" s="234"/>
      <c r="D169" s="234"/>
      <c r="E169" s="232"/>
      <c r="F169" s="233"/>
      <c r="G169" s="234"/>
      <c r="H169" s="234"/>
    </row>
    <row r="170" spans="1:8">
      <c r="A170" s="232"/>
      <c r="B170" s="233"/>
      <c r="C170" s="235"/>
      <c r="D170" s="235"/>
      <c r="E170" s="236"/>
      <c r="F170" s="236"/>
      <c r="G170" s="237"/>
      <c r="H170" s="237"/>
    </row>
    <row r="171" spans="1:8">
      <c r="A171" s="109"/>
      <c r="B171" s="109"/>
      <c r="C171" s="109"/>
      <c r="D171" s="109"/>
      <c r="E171" s="109"/>
      <c r="F171" s="109"/>
      <c r="G171" s="109"/>
      <c r="H171" s="109"/>
    </row>
    <row r="181" ht="18" spans="1:8">
      <c r="A181" s="109"/>
      <c r="B181" s="109"/>
      <c r="C181" s="184" t="s">
        <v>0</v>
      </c>
      <c r="D181" s="184"/>
      <c r="E181" s="184"/>
      <c r="F181" s="184"/>
      <c r="G181" s="184"/>
      <c r="H181" s="184"/>
    </row>
    <row r="182" ht="18" spans="1:8">
      <c r="A182" s="185"/>
      <c r="B182" s="185"/>
      <c r="C182" s="186" t="s">
        <v>1</v>
      </c>
      <c r="D182" s="186"/>
      <c r="E182" s="186"/>
      <c r="F182" s="186"/>
      <c r="G182" s="186"/>
      <c r="H182" s="186"/>
    </row>
    <row r="183" ht="18" spans="1:8">
      <c r="A183" s="187"/>
      <c r="B183" s="187"/>
      <c r="C183" s="188" t="s">
        <v>2</v>
      </c>
      <c r="D183" s="188"/>
      <c r="E183" s="188"/>
      <c r="F183" s="188"/>
      <c r="G183" s="188"/>
      <c r="H183" s="188"/>
    </row>
    <row r="184" ht="15.75" spans="1:8">
      <c r="A184" s="187"/>
      <c r="B184" s="189"/>
      <c r="C184" s="190"/>
      <c r="D184" s="190"/>
      <c r="E184" s="190"/>
      <c r="F184" s="191"/>
      <c r="G184" s="192"/>
      <c r="H184" s="192"/>
    </row>
    <row r="185" ht="15.75" spans="1:8">
      <c r="A185" s="187"/>
      <c r="B185" s="189"/>
      <c r="C185" s="190"/>
      <c r="D185" s="190"/>
      <c r="E185" s="190"/>
      <c r="F185" s="193"/>
      <c r="G185" s="194"/>
      <c r="H185" s="195"/>
    </row>
    <row r="186" ht="15.75" spans="1:8">
      <c r="A186" s="196" t="s">
        <v>3</v>
      </c>
      <c r="B186" s="196" t="s">
        <v>37</v>
      </c>
      <c r="C186" s="196"/>
      <c r="D186" s="196"/>
      <c r="E186" s="196"/>
      <c r="F186" s="196" t="s">
        <v>5</v>
      </c>
      <c r="G186" s="197">
        <v>0.208333333333333</v>
      </c>
      <c r="H186" s="198"/>
    </row>
    <row r="187" spans="1:8">
      <c r="A187" s="196" t="s">
        <v>6</v>
      </c>
      <c r="B187" s="195" t="s">
        <v>7</v>
      </c>
      <c r="C187" s="196"/>
      <c r="D187" s="196"/>
      <c r="E187" s="196"/>
      <c r="F187" s="196" t="s">
        <v>8</v>
      </c>
      <c r="G187" s="199">
        <v>0.875</v>
      </c>
      <c r="H187" s="195"/>
    </row>
    <row r="188" spans="1:8">
      <c r="A188" s="196" t="s">
        <v>9</v>
      </c>
      <c r="B188" s="195"/>
      <c r="C188" s="196"/>
      <c r="D188" s="196"/>
      <c r="E188" s="196"/>
      <c r="F188" s="196"/>
      <c r="G188" s="196"/>
      <c r="H188" s="195"/>
    </row>
    <row r="189" ht="15.75" spans="1:8">
      <c r="A189" s="189"/>
      <c r="B189" s="195"/>
      <c r="C189" s="196"/>
      <c r="D189" s="196"/>
      <c r="E189" s="196"/>
      <c r="F189" s="196"/>
      <c r="G189" s="200"/>
      <c r="H189" s="201"/>
    </row>
    <row r="190" ht="15.75" spans="1:8">
      <c r="A190" s="202"/>
      <c r="B190" s="202"/>
      <c r="C190" s="202"/>
      <c r="D190" s="202"/>
      <c r="E190" s="202"/>
      <c r="F190" s="202"/>
      <c r="G190" s="202"/>
      <c r="H190" s="202"/>
    </row>
    <row r="191" ht="15.75" spans="1:8">
      <c r="A191" s="203" t="s">
        <v>11</v>
      </c>
      <c r="B191" s="203" t="s">
        <v>12</v>
      </c>
      <c r="C191" s="203" t="s">
        <v>13</v>
      </c>
      <c r="D191" s="203" t="s">
        <v>14</v>
      </c>
      <c r="E191" s="203" t="s">
        <v>15</v>
      </c>
      <c r="F191" s="203" t="s">
        <v>16</v>
      </c>
      <c r="G191" s="203" t="s">
        <v>17</v>
      </c>
      <c r="H191" s="203" t="s">
        <v>18</v>
      </c>
    </row>
    <row r="192" ht="15.75" spans="1:8">
      <c r="A192" s="204">
        <v>1</v>
      </c>
      <c r="B192" s="205" t="s">
        <v>19</v>
      </c>
      <c r="C192" s="206">
        <f>D147</f>
        <v>32556</v>
      </c>
      <c r="D192" s="206">
        <v>33029</v>
      </c>
      <c r="E192" s="206">
        <f>D192-C192</f>
        <v>473</v>
      </c>
      <c r="F192" s="207">
        <f>SUM(E192:E193)</f>
        <v>1032</v>
      </c>
      <c r="G192" s="208">
        <v>12200</v>
      </c>
      <c r="H192" s="209">
        <f>F192*G192</f>
        <v>12590400</v>
      </c>
    </row>
    <row r="193" ht="15.75" spans="1:8">
      <c r="A193" s="210"/>
      <c r="B193" s="205" t="s">
        <v>20</v>
      </c>
      <c r="C193" s="206">
        <f>D148</f>
        <v>33879</v>
      </c>
      <c r="D193" s="206">
        <v>34438</v>
      </c>
      <c r="E193" s="206">
        <f>D193-C193</f>
        <v>559</v>
      </c>
      <c r="F193" s="207"/>
      <c r="G193" s="211"/>
      <c r="H193" s="209"/>
    </row>
    <row r="194" ht="15.75" spans="1:8">
      <c r="A194" s="210"/>
      <c r="B194" s="205" t="s">
        <v>21</v>
      </c>
      <c r="C194" s="206">
        <f>D149</f>
        <v>6608</v>
      </c>
      <c r="D194" s="206">
        <v>6638</v>
      </c>
      <c r="E194" s="206">
        <f>D194-C194</f>
        <v>30</v>
      </c>
      <c r="F194" s="207">
        <f>SUM(E194:E195)</f>
        <v>65</v>
      </c>
      <c r="G194" s="209">
        <v>14500</v>
      </c>
      <c r="H194" s="209">
        <f>G194*F194</f>
        <v>942500</v>
      </c>
    </row>
    <row r="195" ht="15.75" spans="1:8">
      <c r="A195" s="212"/>
      <c r="B195" s="205" t="s">
        <v>22</v>
      </c>
      <c r="C195" s="206">
        <f>D150</f>
        <v>6700</v>
      </c>
      <c r="D195" s="206">
        <v>6735</v>
      </c>
      <c r="E195" s="206">
        <f>D195-C195</f>
        <v>35</v>
      </c>
      <c r="F195" s="207"/>
      <c r="G195" s="209"/>
      <c r="H195" s="209"/>
    </row>
    <row r="196" ht="15.75" spans="1:8">
      <c r="A196" s="213"/>
      <c r="B196" s="213"/>
      <c r="C196" s="213"/>
      <c r="D196" s="213"/>
      <c r="E196" s="213"/>
      <c r="F196" s="213"/>
      <c r="G196" s="189" t="s">
        <v>23</v>
      </c>
      <c r="H196" s="214">
        <f>H192+H194</f>
        <v>13532900</v>
      </c>
    </row>
    <row r="197" spans="1:8">
      <c r="A197" s="213" t="s">
        <v>24</v>
      </c>
      <c r="B197" s="215">
        <f>H206</f>
        <v>13427834</v>
      </c>
      <c r="C197" s="213"/>
      <c r="D197" s="213"/>
      <c r="E197" s="213"/>
      <c r="F197" s="213"/>
      <c r="G197" s="196" t="s">
        <v>25</v>
      </c>
      <c r="H197" s="216">
        <v>13000000</v>
      </c>
    </row>
    <row r="198" ht="15.75" spans="1:8">
      <c r="A198" s="213" t="s">
        <v>26</v>
      </c>
      <c r="B198" s="217">
        <v>266</v>
      </c>
      <c r="C198" s="202"/>
      <c r="D198" s="213"/>
      <c r="E198" s="213"/>
      <c r="F198" s="213"/>
      <c r="G198" s="196" t="s">
        <v>27</v>
      </c>
      <c r="H198" s="218">
        <v>105000</v>
      </c>
    </row>
    <row r="199" ht="15.75" spans="1:8">
      <c r="A199" s="219" t="s">
        <v>18</v>
      </c>
      <c r="B199" s="215">
        <f>SUM(B197:B198)</f>
        <v>13428100</v>
      </c>
      <c r="C199" s="213"/>
      <c r="D199" s="213"/>
      <c r="E199" s="213"/>
      <c r="F199" s="213"/>
      <c r="G199" s="200" t="s">
        <v>28</v>
      </c>
      <c r="H199" s="220">
        <f>H196-H197-H198</f>
        <v>427900</v>
      </c>
    </row>
    <row r="200" ht="15.75" spans="1:8">
      <c r="A200" s="202"/>
      <c r="C200" s="202"/>
      <c r="D200" s="202"/>
      <c r="E200" s="202"/>
      <c r="F200" s="202"/>
      <c r="G200" s="202"/>
      <c r="H200" s="202"/>
    </row>
    <row r="201" ht="15.75" spans="1:8">
      <c r="A201" s="202"/>
      <c r="B201" s="202"/>
      <c r="C201" s="202"/>
      <c r="D201" s="202"/>
      <c r="E201" s="202"/>
      <c r="F201" s="202"/>
      <c r="G201" s="202"/>
      <c r="H201" s="202"/>
    </row>
    <row r="202" ht="15.75" spans="1:8">
      <c r="A202" s="221" t="s">
        <v>23</v>
      </c>
      <c r="B202" s="222"/>
      <c r="C202" s="202"/>
      <c r="D202" s="202"/>
      <c r="E202" s="202"/>
      <c r="F202" s="202"/>
      <c r="G202" s="202"/>
      <c r="H202" s="202"/>
    </row>
    <row r="203" ht="15.75" spans="1:8">
      <c r="A203" s="205" t="s">
        <v>29</v>
      </c>
      <c r="B203" s="223">
        <f>F192</f>
        <v>1032</v>
      </c>
      <c r="C203" s="202"/>
      <c r="D203" s="202"/>
      <c r="E203" s="202"/>
      <c r="F203" s="224" t="s">
        <v>30</v>
      </c>
      <c r="G203" s="224"/>
      <c r="H203" s="225">
        <v>13533100</v>
      </c>
    </row>
    <row r="204" ht="15.75" spans="1:8">
      <c r="A204" s="205" t="s">
        <v>31</v>
      </c>
      <c r="B204" s="223">
        <f>F194</f>
        <v>65</v>
      </c>
      <c r="C204" s="202"/>
      <c r="D204" s="202"/>
      <c r="E204" s="202"/>
      <c r="F204" s="224" t="s">
        <v>27</v>
      </c>
      <c r="G204" s="224"/>
      <c r="H204" s="225">
        <f>H198</f>
        <v>105000</v>
      </c>
    </row>
    <row r="205" ht="15.75" spans="1:8">
      <c r="A205" s="189"/>
      <c r="B205" s="226"/>
      <c r="C205" s="202"/>
      <c r="D205" s="202"/>
      <c r="E205" s="202"/>
      <c r="F205" s="224" t="s">
        <v>26</v>
      </c>
      <c r="G205" s="224"/>
      <c r="H205" s="227">
        <f>B198</f>
        <v>266</v>
      </c>
    </row>
    <row r="206" ht="15.75" spans="1:8">
      <c r="A206" s="228"/>
      <c r="B206" s="226"/>
      <c r="C206" s="202"/>
      <c r="D206" s="202"/>
      <c r="E206" s="202"/>
      <c r="F206" s="224" t="s">
        <v>28</v>
      </c>
      <c r="G206" s="224"/>
      <c r="H206" s="225">
        <f>H203-H204-H205</f>
        <v>13427834</v>
      </c>
    </row>
    <row r="208" ht="15.75" spans="1:8">
      <c r="A208" s="229"/>
      <c r="B208" s="230"/>
      <c r="C208" s="230"/>
      <c r="D208" s="230"/>
      <c r="E208" s="229"/>
      <c r="F208" s="231"/>
      <c r="G208" s="230"/>
      <c r="H208" s="230"/>
    </row>
    <row r="209" spans="1:8">
      <c r="A209" s="232"/>
      <c r="B209" s="233"/>
      <c r="C209" s="234"/>
      <c r="D209" s="234"/>
      <c r="E209" s="232"/>
      <c r="F209" s="233"/>
      <c r="G209" s="234"/>
      <c r="H209" s="234"/>
    </row>
    <row r="210" spans="1:8">
      <c r="A210" s="232"/>
      <c r="B210" s="233"/>
      <c r="C210" s="234"/>
      <c r="D210" s="234"/>
      <c r="E210" s="232"/>
      <c r="F210" s="233"/>
      <c r="G210" s="234"/>
      <c r="H210" s="234"/>
    </row>
    <row r="211" spans="1:8">
      <c r="A211" s="232"/>
      <c r="B211" s="233"/>
      <c r="C211" s="234"/>
      <c r="D211" s="234"/>
      <c r="E211" s="232"/>
      <c r="F211" s="233"/>
      <c r="G211" s="234"/>
      <c r="H211" s="234"/>
    </row>
    <row r="212" spans="1:8">
      <c r="A212" s="232"/>
      <c r="B212" s="233"/>
      <c r="C212" s="234"/>
      <c r="D212" s="234"/>
      <c r="E212" s="232"/>
      <c r="F212" s="233"/>
      <c r="G212" s="234"/>
      <c r="H212" s="234"/>
    </row>
    <row r="213" spans="1:8">
      <c r="A213" s="232"/>
      <c r="B213" s="233"/>
      <c r="C213" s="234"/>
      <c r="D213" s="234"/>
      <c r="E213" s="232"/>
      <c r="F213" s="233"/>
      <c r="G213" s="234"/>
      <c r="H213" s="234"/>
    </row>
    <row r="214" spans="1:8">
      <c r="A214" s="232"/>
      <c r="B214" s="233"/>
      <c r="C214" s="234"/>
      <c r="D214" s="234"/>
      <c r="E214" s="232"/>
      <c r="F214" s="233"/>
      <c r="G214" s="234"/>
      <c r="H214" s="234"/>
    </row>
    <row r="215" spans="1:8">
      <c r="A215" s="232"/>
      <c r="B215" s="233"/>
      <c r="C215" s="235"/>
      <c r="D215" s="235"/>
      <c r="E215" s="236"/>
      <c r="F215" s="236"/>
      <c r="G215" s="237"/>
      <c r="H215" s="237"/>
    </row>
    <row r="216" spans="1:8">
      <c r="A216" s="109"/>
      <c r="B216" s="109"/>
      <c r="C216" s="109"/>
      <c r="D216" s="109"/>
      <c r="E216" s="109"/>
      <c r="F216" s="109"/>
      <c r="G216" s="109"/>
      <c r="H216" s="109"/>
    </row>
    <row r="226" ht="18" spans="1:8">
      <c r="A226" s="109"/>
      <c r="B226" s="109"/>
      <c r="C226" s="184" t="s">
        <v>0</v>
      </c>
      <c r="D226" s="184"/>
      <c r="E226" s="184"/>
      <c r="F226" s="184"/>
      <c r="G226" s="184"/>
      <c r="H226" s="184"/>
    </row>
    <row r="227" ht="18" spans="1:8">
      <c r="A227" s="185"/>
      <c r="B227" s="185"/>
      <c r="C227" s="186" t="s">
        <v>1</v>
      </c>
      <c r="D227" s="186"/>
      <c r="E227" s="186"/>
      <c r="F227" s="186"/>
      <c r="G227" s="186"/>
      <c r="H227" s="186"/>
    </row>
    <row r="228" ht="18" spans="1:8">
      <c r="A228" s="187"/>
      <c r="B228" s="187"/>
      <c r="C228" s="188" t="s">
        <v>2</v>
      </c>
      <c r="D228" s="188"/>
      <c r="E228" s="188"/>
      <c r="F228" s="188"/>
      <c r="G228" s="188"/>
      <c r="H228" s="188"/>
    </row>
    <row r="229" ht="15.75" spans="1:8">
      <c r="A229" s="187"/>
      <c r="B229" s="189"/>
      <c r="C229" s="190"/>
      <c r="D229" s="190"/>
      <c r="E229" s="190"/>
      <c r="F229" s="191"/>
      <c r="G229" s="192"/>
      <c r="H229" s="192"/>
    </row>
    <row r="230" ht="15.75" spans="1:8">
      <c r="A230" s="187"/>
      <c r="B230" s="189"/>
      <c r="C230" s="190"/>
      <c r="D230" s="190"/>
      <c r="E230" s="190"/>
      <c r="F230" s="193"/>
      <c r="G230" s="194"/>
      <c r="H230" s="195"/>
    </row>
    <row r="231" ht="15.75" spans="1:8">
      <c r="A231" s="196" t="s">
        <v>3</v>
      </c>
      <c r="B231" s="196" t="s">
        <v>38</v>
      </c>
      <c r="C231" s="196"/>
      <c r="D231" s="196"/>
      <c r="E231" s="196"/>
      <c r="F231" s="196" t="s">
        <v>5</v>
      </c>
      <c r="G231" s="197">
        <v>0.208333333333333</v>
      </c>
      <c r="H231" s="198"/>
    </row>
    <row r="232" spans="1:8">
      <c r="A232" s="196" t="s">
        <v>6</v>
      </c>
      <c r="B232" s="195" t="s">
        <v>10</v>
      </c>
      <c r="C232" s="196"/>
      <c r="D232" s="196"/>
      <c r="E232" s="196"/>
      <c r="F232" s="196" t="s">
        <v>8</v>
      </c>
      <c r="G232" s="199">
        <v>0.875</v>
      </c>
      <c r="H232" s="195"/>
    </row>
    <row r="233" spans="1:8">
      <c r="A233" s="196" t="s">
        <v>9</v>
      </c>
      <c r="B233" s="195" t="s">
        <v>33</v>
      </c>
      <c r="C233" s="196"/>
      <c r="D233" s="196"/>
      <c r="E233" s="196"/>
      <c r="F233" s="196"/>
      <c r="G233" s="196"/>
      <c r="H233" s="195"/>
    </row>
    <row r="234" ht="15.75" spans="1:8">
      <c r="A234" s="189"/>
      <c r="B234" s="195"/>
      <c r="C234" s="196"/>
      <c r="D234" s="196"/>
      <c r="E234" s="196"/>
      <c r="F234" s="196"/>
      <c r="G234" s="200"/>
      <c r="H234" s="201"/>
    </row>
    <row r="235" ht="15.75" spans="1:8">
      <c r="A235" s="202"/>
      <c r="B235" s="202"/>
      <c r="C235" s="202"/>
      <c r="D235" s="202"/>
      <c r="E235" s="202"/>
      <c r="F235" s="202"/>
      <c r="G235" s="202"/>
      <c r="H235" s="202"/>
    </row>
    <row r="236" ht="15.75" spans="1:8">
      <c r="A236" s="203" t="s">
        <v>11</v>
      </c>
      <c r="B236" s="203" t="s">
        <v>12</v>
      </c>
      <c r="C236" s="203" t="s">
        <v>13</v>
      </c>
      <c r="D236" s="203" t="s">
        <v>14</v>
      </c>
      <c r="E236" s="203" t="s">
        <v>15</v>
      </c>
      <c r="F236" s="203" t="s">
        <v>16</v>
      </c>
      <c r="G236" s="203" t="s">
        <v>17</v>
      </c>
      <c r="H236" s="203" t="s">
        <v>18</v>
      </c>
    </row>
    <row r="237" ht="15.75" spans="1:8">
      <c r="A237" s="204">
        <v>1</v>
      </c>
      <c r="B237" s="205" t="s">
        <v>19</v>
      </c>
      <c r="C237" s="206">
        <f>D192</f>
        <v>33029</v>
      </c>
      <c r="D237" s="206">
        <v>33509</v>
      </c>
      <c r="E237" s="206">
        <f>D237-C237</f>
        <v>480</v>
      </c>
      <c r="F237" s="207">
        <f>SUM(E237:E238)</f>
        <v>975</v>
      </c>
      <c r="G237" s="208">
        <v>12200</v>
      </c>
      <c r="H237" s="209">
        <f>F237*G237</f>
        <v>11895000</v>
      </c>
    </row>
    <row r="238" ht="15.75" spans="1:8">
      <c r="A238" s="210"/>
      <c r="B238" s="205" t="s">
        <v>20</v>
      </c>
      <c r="C238" s="206">
        <f>D193</f>
        <v>34438</v>
      </c>
      <c r="D238" s="206">
        <v>34933</v>
      </c>
      <c r="E238" s="206">
        <f>D238-C238</f>
        <v>495</v>
      </c>
      <c r="F238" s="207"/>
      <c r="G238" s="211"/>
      <c r="H238" s="209"/>
    </row>
    <row r="239" ht="15.75" spans="1:8">
      <c r="A239" s="210"/>
      <c r="B239" s="205" t="s">
        <v>21</v>
      </c>
      <c r="C239" s="206">
        <f>D194</f>
        <v>6638</v>
      </c>
      <c r="D239" s="206">
        <v>6638</v>
      </c>
      <c r="E239" s="206">
        <f>D239-C239</f>
        <v>0</v>
      </c>
      <c r="F239" s="207">
        <f>SUM(E239:E240)</f>
        <v>20</v>
      </c>
      <c r="G239" s="209">
        <v>14500</v>
      </c>
      <c r="H239" s="209">
        <f>G239*F239</f>
        <v>290000</v>
      </c>
    </row>
    <row r="240" ht="15.75" spans="1:8">
      <c r="A240" s="212"/>
      <c r="B240" s="205" t="s">
        <v>22</v>
      </c>
      <c r="C240" s="206">
        <f>D195</f>
        <v>6735</v>
      </c>
      <c r="D240" s="206">
        <v>6755</v>
      </c>
      <c r="E240" s="206">
        <f>D240-C240</f>
        <v>20</v>
      </c>
      <c r="F240" s="207"/>
      <c r="G240" s="209"/>
      <c r="H240" s="209"/>
    </row>
    <row r="241" ht="15.75" spans="1:8">
      <c r="A241" s="213"/>
      <c r="B241" s="213"/>
      <c r="C241" s="213"/>
      <c r="D241" s="213"/>
      <c r="E241" s="213"/>
      <c r="F241" s="213"/>
      <c r="G241" s="189" t="s">
        <v>23</v>
      </c>
      <c r="H241" s="214">
        <f>H237+H239</f>
        <v>12185000</v>
      </c>
    </row>
    <row r="242" spans="1:8">
      <c r="A242" s="213" t="s">
        <v>24</v>
      </c>
      <c r="B242" s="215">
        <f>H251</f>
        <v>12006000</v>
      </c>
      <c r="C242" s="213"/>
      <c r="D242" s="213"/>
      <c r="E242" s="213"/>
      <c r="F242" s="213"/>
      <c r="G242" s="196" t="s">
        <v>25</v>
      </c>
      <c r="H242" s="216">
        <v>10000000</v>
      </c>
    </row>
    <row r="243" ht="15.75" spans="1:8">
      <c r="A243" s="213" t="s">
        <v>26</v>
      </c>
      <c r="B243" s="217"/>
      <c r="C243" s="202"/>
      <c r="D243" s="213"/>
      <c r="E243" s="213"/>
      <c r="F243" s="213"/>
      <c r="G243" s="196" t="s">
        <v>27</v>
      </c>
      <c r="H243" s="218">
        <v>179000</v>
      </c>
    </row>
    <row r="244" ht="15.75" spans="1:8">
      <c r="A244" s="219" t="s">
        <v>18</v>
      </c>
      <c r="B244" s="215">
        <f>SUM(B242:B243)</f>
        <v>12006000</v>
      </c>
      <c r="C244" s="213"/>
      <c r="D244" s="213"/>
      <c r="E244" s="213"/>
      <c r="F244" s="213"/>
      <c r="G244" s="200" t="s">
        <v>28</v>
      </c>
      <c r="H244" s="220">
        <f>H241-H242-H243</f>
        <v>2006000</v>
      </c>
    </row>
    <row r="245" ht="15.75" spans="1:8">
      <c r="A245" s="202"/>
      <c r="C245" s="202"/>
      <c r="D245" s="202"/>
      <c r="E245" s="202"/>
      <c r="F245" s="202"/>
      <c r="G245" s="202"/>
      <c r="H245" s="202"/>
    </row>
    <row r="246" ht="15.75" spans="1:8">
      <c r="A246" s="202"/>
      <c r="B246" s="202"/>
      <c r="C246" s="202"/>
      <c r="D246" s="202"/>
      <c r="E246" s="202"/>
      <c r="F246" s="202"/>
      <c r="G246" s="202"/>
      <c r="H246" s="202"/>
    </row>
    <row r="247" ht="15.75" spans="1:8">
      <c r="A247" s="221" t="s">
        <v>23</v>
      </c>
      <c r="B247" s="222"/>
      <c r="C247" s="202"/>
      <c r="D247" s="202"/>
      <c r="E247" s="202"/>
      <c r="F247" s="202"/>
      <c r="G247" s="202"/>
      <c r="H247" s="202"/>
    </row>
    <row r="248" ht="15.75" spans="1:8">
      <c r="A248" s="205" t="s">
        <v>29</v>
      </c>
      <c r="B248" s="223">
        <f>F237</f>
        <v>975</v>
      </c>
      <c r="C248" s="202"/>
      <c r="D248" s="202"/>
      <c r="E248" s="202"/>
      <c r="F248" s="224" t="s">
        <v>30</v>
      </c>
      <c r="G248" s="224"/>
      <c r="H248" s="225">
        <f>H241</f>
        <v>12185000</v>
      </c>
    </row>
    <row r="249" ht="15.75" spans="1:8">
      <c r="A249" s="205" t="s">
        <v>31</v>
      </c>
      <c r="B249" s="223">
        <f>F239</f>
        <v>20</v>
      </c>
      <c r="C249" s="202"/>
      <c r="D249" s="202"/>
      <c r="E249" s="202"/>
      <c r="F249" s="224" t="s">
        <v>27</v>
      </c>
      <c r="G249" s="224"/>
      <c r="H249" s="225">
        <f>H243</f>
        <v>179000</v>
      </c>
    </row>
    <row r="250" ht="15.75" spans="1:8">
      <c r="A250" s="189"/>
      <c r="B250" s="226"/>
      <c r="C250" s="202"/>
      <c r="D250" s="202"/>
      <c r="E250" s="202"/>
      <c r="F250" s="224" t="s">
        <v>26</v>
      </c>
      <c r="G250" s="224"/>
      <c r="H250" s="227">
        <f>B243</f>
        <v>0</v>
      </c>
    </row>
    <row r="251" ht="15.75" spans="1:8">
      <c r="A251" s="228"/>
      <c r="B251" s="226"/>
      <c r="C251" s="202"/>
      <c r="D251" s="202"/>
      <c r="E251" s="202"/>
      <c r="F251" s="224" t="s">
        <v>28</v>
      </c>
      <c r="G251" s="224"/>
      <c r="H251" s="225">
        <f>H248-H249-H250</f>
        <v>12006000</v>
      </c>
    </row>
    <row r="253" ht="15.75" spans="1:8">
      <c r="A253" s="229"/>
      <c r="B253" s="230"/>
      <c r="C253" s="230"/>
      <c r="D253" s="230"/>
      <c r="E253" s="229"/>
      <c r="F253" s="231"/>
      <c r="G253" s="230"/>
      <c r="H253" s="230"/>
    </row>
    <row r="254" spans="1:8">
      <c r="A254" s="232"/>
      <c r="B254" s="233"/>
      <c r="C254" s="234"/>
      <c r="D254" s="234"/>
      <c r="E254" s="232"/>
      <c r="F254" s="233"/>
      <c r="G254" s="234"/>
      <c r="H254" s="234"/>
    </row>
    <row r="255" spans="1:8">
      <c r="A255" s="232"/>
      <c r="B255" s="233"/>
      <c r="C255" s="234"/>
      <c r="D255" s="234"/>
      <c r="E255" s="232"/>
      <c r="F255" s="233"/>
      <c r="G255" s="234"/>
      <c r="H255" s="234"/>
    </row>
    <row r="256" spans="1:8">
      <c r="A256" s="232"/>
      <c r="B256" s="233"/>
      <c r="C256" s="234"/>
      <c r="D256" s="234"/>
      <c r="E256" s="232"/>
      <c r="F256" s="233"/>
      <c r="G256" s="234"/>
      <c r="H256" s="234"/>
    </row>
    <row r="257" spans="1:8">
      <c r="A257" s="232"/>
      <c r="B257" s="233"/>
      <c r="C257" s="234"/>
      <c r="D257" s="234"/>
      <c r="E257" s="232"/>
      <c r="F257" s="233"/>
      <c r="G257" s="234"/>
      <c r="H257" s="234"/>
    </row>
    <row r="258" spans="1:8">
      <c r="A258" s="232"/>
      <c r="B258" s="233"/>
      <c r="C258" s="234"/>
      <c r="D258" s="234"/>
      <c r="E258" s="232"/>
      <c r="F258" s="233"/>
      <c r="G258" s="234"/>
      <c r="H258" s="234"/>
    </row>
    <row r="259" spans="1:8">
      <c r="A259" s="232"/>
      <c r="B259" s="233"/>
      <c r="C259" s="234"/>
      <c r="D259" s="234"/>
      <c r="E259" s="232"/>
      <c r="F259" s="233"/>
      <c r="G259" s="234"/>
      <c r="H259" s="234"/>
    </row>
    <row r="260" spans="1:8">
      <c r="A260" s="232"/>
      <c r="B260" s="233"/>
      <c r="C260" s="235"/>
      <c r="D260" s="235"/>
      <c r="E260" s="236"/>
      <c r="F260" s="236"/>
      <c r="G260" s="237"/>
      <c r="H260" s="237"/>
    </row>
    <row r="261" spans="1:8">
      <c r="A261" s="109"/>
      <c r="B261" s="109"/>
      <c r="C261" s="109"/>
      <c r="D261" s="109"/>
      <c r="E261" s="109"/>
      <c r="F261" s="109"/>
      <c r="G261" s="109"/>
      <c r="H261" s="109"/>
    </row>
    <row r="271" ht="18" spans="1:8">
      <c r="A271" s="109"/>
      <c r="B271" s="109"/>
      <c r="C271" s="184" t="s">
        <v>0</v>
      </c>
      <c r="D271" s="184"/>
      <c r="E271" s="184"/>
      <c r="F271" s="184"/>
      <c r="G271" s="184"/>
      <c r="H271" s="184"/>
    </row>
    <row r="272" ht="18" spans="1:8">
      <c r="A272" s="185"/>
      <c r="B272" s="185"/>
      <c r="C272" s="186" t="s">
        <v>1</v>
      </c>
      <c r="D272" s="186"/>
      <c r="E272" s="186"/>
      <c r="F272" s="186"/>
      <c r="G272" s="186"/>
      <c r="H272" s="186"/>
    </row>
    <row r="273" ht="18" spans="1:8">
      <c r="A273" s="187"/>
      <c r="B273" s="187"/>
      <c r="C273" s="188" t="s">
        <v>2</v>
      </c>
      <c r="D273" s="188"/>
      <c r="E273" s="188"/>
      <c r="F273" s="188"/>
      <c r="G273" s="188"/>
      <c r="H273" s="188"/>
    </row>
    <row r="274" ht="15.75" spans="1:8">
      <c r="A274" s="187"/>
      <c r="B274" s="189"/>
      <c r="C274" s="190"/>
      <c r="D274" s="190"/>
      <c r="E274" s="190"/>
      <c r="F274" s="191"/>
      <c r="G274" s="192"/>
      <c r="H274" s="192"/>
    </row>
    <row r="275" ht="15.75" spans="1:8">
      <c r="A275" s="187"/>
      <c r="B275" s="189"/>
      <c r="C275" s="190"/>
      <c r="D275" s="190"/>
      <c r="E275" s="190"/>
      <c r="F275" s="193"/>
      <c r="G275" s="194"/>
      <c r="H275" s="195"/>
    </row>
    <row r="276" ht="15.75" spans="1:8">
      <c r="A276" s="196" t="s">
        <v>3</v>
      </c>
      <c r="B276" s="196" t="s">
        <v>39</v>
      </c>
      <c r="C276" s="196"/>
      <c r="D276" s="196"/>
      <c r="E276" s="196"/>
      <c r="F276" s="196" t="s">
        <v>5</v>
      </c>
      <c r="G276" s="197">
        <v>0.208333333333333</v>
      </c>
      <c r="H276" s="198"/>
    </row>
    <row r="277" spans="1:8">
      <c r="A277" s="196" t="s">
        <v>6</v>
      </c>
      <c r="B277" s="195" t="s">
        <v>7</v>
      </c>
      <c r="C277" s="196"/>
      <c r="D277" s="196"/>
      <c r="E277" s="196"/>
      <c r="F277" s="196" t="s">
        <v>8</v>
      </c>
      <c r="G277" s="199">
        <v>0.875</v>
      </c>
      <c r="H277" s="195"/>
    </row>
    <row r="278" spans="1:8">
      <c r="A278" s="196" t="s">
        <v>9</v>
      </c>
      <c r="B278" s="195" t="s">
        <v>33</v>
      </c>
      <c r="C278" s="196"/>
      <c r="D278" s="196"/>
      <c r="E278" s="196"/>
      <c r="F278" s="196"/>
      <c r="G278" s="196"/>
      <c r="H278" s="195"/>
    </row>
    <row r="279" ht="15.75" spans="1:8">
      <c r="A279" s="189"/>
      <c r="B279" s="195"/>
      <c r="C279" s="196"/>
      <c r="D279" s="196"/>
      <c r="E279" s="196"/>
      <c r="F279" s="196"/>
      <c r="G279" s="200"/>
      <c r="H279" s="201"/>
    </row>
    <row r="280" ht="15.75" spans="1:8">
      <c r="A280" s="202"/>
      <c r="B280" s="202"/>
      <c r="C280" s="202"/>
      <c r="D280" s="202"/>
      <c r="E280" s="202"/>
      <c r="F280" s="202"/>
      <c r="G280" s="202"/>
      <c r="H280" s="202"/>
    </row>
    <row r="281" ht="15.75" spans="1:8">
      <c r="A281" s="203" t="s">
        <v>11</v>
      </c>
      <c r="B281" s="203" t="s">
        <v>12</v>
      </c>
      <c r="C281" s="203" t="s">
        <v>13</v>
      </c>
      <c r="D281" s="203" t="s">
        <v>14</v>
      </c>
      <c r="E281" s="203" t="s">
        <v>15</v>
      </c>
      <c r="F281" s="203" t="s">
        <v>16</v>
      </c>
      <c r="G281" s="203" t="s">
        <v>17</v>
      </c>
      <c r="H281" s="203" t="s">
        <v>18</v>
      </c>
    </row>
    <row r="282" ht="15.75" spans="1:8">
      <c r="A282" s="204">
        <v>1</v>
      </c>
      <c r="B282" s="205" t="s">
        <v>19</v>
      </c>
      <c r="C282" s="206">
        <f>D237</f>
        <v>33509</v>
      </c>
      <c r="D282" s="206">
        <v>34070</v>
      </c>
      <c r="E282" s="206">
        <f>D282-C282</f>
        <v>561</v>
      </c>
      <c r="F282" s="207">
        <f>SUM(E282:E283)</f>
        <v>1090</v>
      </c>
      <c r="G282" s="208">
        <v>12200</v>
      </c>
      <c r="H282" s="209">
        <f>F282*G282</f>
        <v>13298000</v>
      </c>
    </row>
    <row r="283" ht="15.75" spans="1:8">
      <c r="A283" s="210"/>
      <c r="B283" s="205" t="s">
        <v>20</v>
      </c>
      <c r="C283" s="206">
        <f>D238</f>
        <v>34933</v>
      </c>
      <c r="D283" s="206">
        <v>35462</v>
      </c>
      <c r="E283" s="206">
        <f>D283-C283</f>
        <v>529</v>
      </c>
      <c r="F283" s="207"/>
      <c r="G283" s="211"/>
      <c r="H283" s="209"/>
    </row>
    <row r="284" ht="15.75" spans="1:8">
      <c r="A284" s="210"/>
      <c r="B284" s="205" t="s">
        <v>21</v>
      </c>
      <c r="C284" s="206">
        <f>D239</f>
        <v>6638</v>
      </c>
      <c r="D284" s="206">
        <v>6638</v>
      </c>
      <c r="E284" s="206">
        <f>D284-C284</f>
        <v>0</v>
      </c>
      <c r="F284" s="207">
        <f>SUM(E284:E285)</f>
        <v>1</v>
      </c>
      <c r="G284" s="209">
        <v>14500</v>
      </c>
      <c r="H284" s="209">
        <f>G284*F284</f>
        <v>14500</v>
      </c>
    </row>
    <row r="285" ht="15.75" spans="1:8">
      <c r="A285" s="212"/>
      <c r="B285" s="205" t="s">
        <v>22</v>
      </c>
      <c r="C285" s="206">
        <f>D240</f>
        <v>6755</v>
      </c>
      <c r="D285" s="206">
        <v>6756</v>
      </c>
      <c r="E285" s="206">
        <f>D285-C285</f>
        <v>1</v>
      </c>
      <c r="F285" s="207"/>
      <c r="G285" s="209"/>
      <c r="H285" s="209"/>
    </row>
    <row r="286" ht="15.75" spans="1:8">
      <c r="A286" s="213"/>
      <c r="B286" s="213"/>
      <c r="C286" s="213"/>
      <c r="D286" s="213"/>
      <c r="E286" s="213"/>
      <c r="F286" s="213"/>
      <c r="G286" s="189" t="s">
        <v>23</v>
      </c>
      <c r="H286" s="214">
        <f>H282+H284</f>
        <v>13312500</v>
      </c>
    </row>
    <row r="287" spans="1:8">
      <c r="A287" s="213" t="s">
        <v>24</v>
      </c>
      <c r="B287" s="215">
        <f>H296</f>
        <v>13160206</v>
      </c>
      <c r="C287" s="213"/>
      <c r="D287" s="213"/>
      <c r="E287" s="213"/>
      <c r="F287" s="213"/>
      <c r="G287" s="196" t="s">
        <v>25</v>
      </c>
      <c r="H287" s="216">
        <v>12000000</v>
      </c>
    </row>
    <row r="288" ht="15.75" spans="1:8">
      <c r="A288" s="213" t="s">
        <v>26</v>
      </c>
      <c r="B288" s="217"/>
      <c r="C288" s="202"/>
      <c r="D288" s="213"/>
      <c r="E288" s="213"/>
      <c r="F288" s="213"/>
      <c r="G288" s="196" t="s">
        <v>27</v>
      </c>
      <c r="H288" s="218">
        <v>152294</v>
      </c>
    </row>
    <row r="289" ht="15.75" spans="1:10">
      <c r="A289" s="219" t="s">
        <v>18</v>
      </c>
      <c r="B289" s="215">
        <f>SUM(B287:B288)</f>
        <v>13160206</v>
      </c>
      <c r="C289" s="213"/>
      <c r="D289" s="213"/>
      <c r="E289" s="213"/>
      <c r="F289" s="213"/>
      <c r="G289" s="200" t="s">
        <v>28</v>
      </c>
      <c r="H289" s="220">
        <f>H286-H287-H288</f>
        <v>1160206</v>
      </c>
    </row>
    <row r="290" ht="15.75" spans="1:10">
      <c r="A290" s="202"/>
      <c r="C290" s="202"/>
      <c r="D290" s="202"/>
      <c r="E290" s="202"/>
      <c r="F290" s="202"/>
      <c r="G290" s="202"/>
      <c r="H290" s="202"/>
    </row>
    <row r="291" ht="15.75" spans="1:10">
      <c r="A291" s="202"/>
      <c r="B291" s="202"/>
      <c r="C291" s="202"/>
      <c r="D291" s="202"/>
      <c r="E291" s="202"/>
      <c r="F291" s="202"/>
      <c r="G291" s="202"/>
      <c r="H291" s="202"/>
    </row>
    <row r="292" ht="15.75" spans="1:10">
      <c r="A292" s="221" t="s">
        <v>23</v>
      </c>
      <c r="B292" s="222"/>
      <c r="C292" s="202"/>
      <c r="D292" s="202"/>
      <c r="E292" s="202"/>
      <c r="F292" s="202"/>
      <c r="G292" s="202"/>
      <c r="H292" s="202"/>
    </row>
    <row r="293" ht="15.75" spans="1:10">
      <c r="A293" s="205" t="s">
        <v>29</v>
      </c>
      <c r="B293" s="223">
        <f>F282</f>
        <v>1090</v>
      </c>
      <c r="C293" s="202"/>
      <c r="D293" s="202"/>
      <c r="E293" s="202"/>
      <c r="F293" s="224" t="s">
        <v>30</v>
      </c>
      <c r="G293" s="224"/>
      <c r="H293" s="225">
        <f>H286</f>
        <v>13312500</v>
      </c>
    </row>
    <row r="294" ht="15.75" spans="1:10">
      <c r="A294" s="205" t="s">
        <v>31</v>
      </c>
      <c r="B294" s="223">
        <f>F284</f>
        <v>1</v>
      </c>
      <c r="C294" s="202"/>
      <c r="D294" s="202"/>
      <c r="E294" s="202"/>
      <c r="F294" s="224" t="s">
        <v>27</v>
      </c>
      <c r="G294" s="224"/>
      <c r="H294" s="225">
        <f>H288</f>
        <v>152294</v>
      </c>
    </row>
    <row r="295" ht="15.75" spans="1:10">
      <c r="A295" s="189"/>
      <c r="B295" s="226"/>
      <c r="C295" s="202"/>
      <c r="D295" s="202"/>
      <c r="E295" s="202"/>
      <c r="F295" s="224" t="s">
        <v>26</v>
      </c>
      <c r="G295" s="224"/>
      <c r="H295" s="227">
        <f>B288</f>
        <v>0</v>
      </c>
    </row>
    <row r="296" ht="15.75" spans="1:10">
      <c r="A296" s="228"/>
      <c r="B296" s="226"/>
      <c r="C296" s="202"/>
      <c r="D296" s="202"/>
      <c r="E296" s="202"/>
      <c r="F296" s="224" t="s">
        <v>28</v>
      </c>
      <c r="G296" s="224"/>
      <c r="H296" s="225">
        <f>H293-H294-H295</f>
        <v>13160206</v>
      </c>
    </row>
    <row r="298" ht="15.75" spans="1:10">
      <c r="A298" s="229"/>
      <c r="B298" s="230"/>
      <c r="C298" s="230"/>
      <c r="D298" s="230"/>
      <c r="E298" s="229"/>
      <c r="F298" s="231"/>
      <c r="G298" s="231"/>
      <c r="H298" s="231"/>
    </row>
    <row r="299" spans="1:10">
      <c r="A299" s="232"/>
      <c r="B299" s="233"/>
      <c r="C299" s="234"/>
      <c r="D299" s="234"/>
      <c r="E299" s="232"/>
      <c r="F299" s="233"/>
      <c r="G299" s="238"/>
      <c r="H299" s="238"/>
    </row>
    <row r="300" spans="1:10">
      <c r="A300" s="232"/>
      <c r="B300" s="233"/>
      <c r="C300" s="234"/>
      <c r="D300" s="234"/>
      <c r="E300" s="232"/>
      <c r="F300" s="233"/>
      <c r="G300" s="238"/>
      <c r="H300" s="238"/>
    </row>
    <row r="301" spans="1:10">
      <c r="A301" s="232"/>
      <c r="B301" s="233"/>
      <c r="C301" s="234"/>
      <c r="D301" s="234"/>
      <c r="E301" s="232"/>
      <c r="F301" s="233"/>
      <c r="G301" s="238"/>
      <c r="H301" s="238"/>
    </row>
    <row r="302" spans="1:10">
      <c r="A302" s="232"/>
      <c r="B302" s="233"/>
      <c r="C302" s="234"/>
      <c r="D302" s="234"/>
      <c r="E302" s="232"/>
      <c r="F302" s="233"/>
      <c r="G302" s="238"/>
      <c r="H302" s="238"/>
    </row>
    <row r="303" spans="1:10">
      <c r="A303" s="232"/>
      <c r="B303" s="233"/>
      <c r="C303" s="234"/>
      <c r="D303" s="234"/>
      <c r="E303" s="232"/>
      <c r="F303" s="233"/>
      <c r="G303" s="238"/>
      <c r="H303" s="238"/>
    </row>
    <row r="304" spans="1:10">
      <c r="A304" s="232"/>
      <c r="B304" s="233"/>
      <c r="C304" s="234"/>
      <c r="D304" s="234"/>
      <c r="E304" s="232"/>
      <c r="F304" s="233"/>
      <c r="G304" s="238"/>
      <c r="H304" s="238"/>
      <c r="J304" t="s">
        <v>40</v>
      </c>
    </row>
    <row r="305" spans="1:8">
      <c r="A305" s="232"/>
      <c r="B305" s="233"/>
      <c r="C305" s="235"/>
      <c r="D305" s="235"/>
      <c r="E305" s="236"/>
      <c r="F305" s="236"/>
      <c r="G305" s="239"/>
      <c r="H305" s="239"/>
    </row>
    <row r="306" spans="1:8">
      <c r="A306" s="109"/>
      <c r="B306" s="109"/>
      <c r="C306" s="109"/>
      <c r="D306" s="109"/>
      <c r="E306" s="109"/>
      <c r="F306" s="109"/>
      <c r="G306" s="109"/>
      <c r="H306" s="109"/>
    </row>
    <row r="316" ht="18" spans="1:8">
      <c r="A316" s="109"/>
      <c r="B316" s="109"/>
      <c r="C316" s="184" t="s">
        <v>0</v>
      </c>
      <c r="D316" s="184"/>
      <c r="E316" s="184"/>
      <c r="F316" s="184"/>
      <c r="G316" s="184"/>
      <c r="H316" s="184"/>
    </row>
    <row r="317" ht="18" spans="1:8">
      <c r="A317" s="185"/>
      <c r="B317" s="185"/>
      <c r="C317" s="186" t="s">
        <v>1</v>
      </c>
      <c r="D317" s="186"/>
      <c r="E317" s="186"/>
      <c r="F317" s="186"/>
      <c r="G317" s="186"/>
      <c r="H317" s="186"/>
    </row>
    <row r="318" ht="18" spans="1:8">
      <c r="A318" s="187"/>
      <c r="B318" s="187"/>
      <c r="C318" s="188" t="s">
        <v>2</v>
      </c>
      <c r="D318" s="188"/>
      <c r="E318" s="188"/>
      <c r="F318" s="188"/>
      <c r="G318" s="188"/>
      <c r="H318" s="188"/>
    </row>
    <row r="319" ht="15.75" spans="1:8">
      <c r="A319" s="187"/>
      <c r="B319" s="189"/>
      <c r="C319" s="190"/>
      <c r="D319" s="190"/>
      <c r="E319" s="190"/>
      <c r="F319" s="191"/>
      <c r="G319" s="192"/>
      <c r="H319" s="192"/>
    </row>
    <row r="320" ht="15.75" spans="1:8">
      <c r="A320" s="187"/>
      <c r="B320" s="189"/>
      <c r="C320" s="190"/>
      <c r="D320" s="190"/>
      <c r="E320" s="190"/>
      <c r="F320" s="193"/>
      <c r="G320" s="194"/>
      <c r="H320" s="195"/>
    </row>
    <row r="321" ht="15.75" spans="1:8">
      <c r="A321" s="196" t="s">
        <v>3</v>
      </c>
      <c r="B321" s="196" t="s">
        <v>41</v>
      </c>
      <c r="C321" s="196"/>
      <c r="D321" s="196"/>
      <c r="E321" s="196"/>
      <c r="F321" s="196" t="s">
        <v>5</v>
      </c>
      <c r="G321" s="197">
        <v>0.208333333333333</v>
      </c>
      <c r="H321" s="198"/>
    </row>
    <row r="322" spans="1:8">
      <c r="A322" s="196" t="s">
        <v>6</v>
      </c>
      <c r="B322" s="195" t="s">
        <v>10</v>
      </c>
      <c r="C322" s="196"/>
      <c r="D322" s="196"/>
      <c r="E322" s="196"/>
      <c r="F322" s="196" t="s">
        <v>8</v>
      </c>
      <c r="G322" s="199">
        <v>0.875</v>
      </c>
      <c r="H322" s="195"/>
    </row>
    <row r="323" spans="1:8">
      <c r="A323" s="196" t="s">
        <v>9</v>
      </c>
      <c r="B323" s="195" t="s">
        <v>33</v>
      </c>
      <c r="C323" s="196"/>
      <c r="D323" s="196"/>
      <c r="E323" s="196"/>
      <c r="F323" s="196"/>
      <c r="G323" s="196"/>
      <c r="H323" s="195"/>
    </row>
    <row r="324" ht="15.75" spans="1:8">
      <c r="A324" s="189"/>
      <c r="B324" s="195"/>
      <c r="C324" s="196"/>
      <c r="D324" s="196"/>
      <c r="E324" s="196"/>
      <c r="F324" s="196"/>
      <c r="G324" s="200"/>
      <c r="H324" s="201"/>
    </row>
    <row r="325" ht="15.75" spans="1:8">
      <c r="A325" s="202"/>
      <c r="B325" s="202"/>
      <c r="C325" s="202"/>
      <c r="D325" s="202"/>
      <c r="E325" s="202"/>
      <c r="F325" s="202"/>
      <c r="G325" s="202"/>
      <c r="H325" s="202"/>
    </row>
    <row r="326" ht="15.75" spans="1:8">
      <c r="A326" s="203" t="s">
        <v>11</v>
      </c>
      <c r="B326" s="203" t="s">
        <v>12</v>
      </c>
      <c r="C326" s="203" t="s">
        <v>13</v>
      </c>
      <c r="D326" s="203" t="s">
        <v>14</v>
      </c>
      <c r="E326" s="203" t="s">
        <v>15</v>
      </c>
      <c r="F326" s="203" t="s">
        <v>16</v>
      </c>
      <c r="G326" s="203" t="s">
        <v>17</v>
      </c>
      <c r="H326" s="203" t="s">
        <v>18</v>
      </c>
    </row>
    <row r="327" ht="15.75" spans="1:8">
      <c r="A327" s="204">
        <v>1</v>
      </c>
      <c r="B327" s="205" t="s">
        <v>19</v>
      </c>
      <c r="C327" s="206">
        <f>D282</f>
        <v>34070</v>
      </c>
      <c r="D327" s="206">
        <v>34461</v>
      </c>
      <c r="E327" s="206">
        <f>D327-C327</f>
        <v>391</v>
      </c>
      <c r="F327" s="207">
        <f>SUM(E327:E328)</f>
        <v>902</v>
      </c>
      <c r="G327" s="208">
        <v>12200</v>
      </c>
      <c r="H327" s="209">
        <f>F327*G327</f>
        <v>11004400</v>
      </c>
    </row>
    <row r="328" ht="15.75" spans="1:8">
      <c r="A328" s="210"/>
      <c r="B328" s="205" t="s">
        <v>20</v>
      </c>
      <c r="C328" s="206">
        <f>D283</f>
        <v>35462</v>
      </c>
      <c r="D328" s="206">
        <v>35973</v>
      </c>
      <c r="E328" s="206">
        <f>D328-C328</f>
        <v>511</v>
      </c>
      <c r="F328" s="207"/>
      <c r="G328" s="211"/>
      <c r="H328" s="209"/>
    </row>
    <row r="329" ht="15.75" spans="1:8">
      <c r="A329" s="210"/>
      <c r="B329" s="205" t="s">
        <v>21</v>
      </c>
      <c r="C329" s="206">
        <f>D284</f>
        <v>6638</v>
      </c>
      <c r="D329" s="206">
        <v>6673</v>
      </c>
      <c r="E329" s="206">
        <f>D329-C329</f>
        <v>35</v>
      </c>
      <c r="F329" s="207">
        <f>SUM(E329:E330)</f>
        <v>87</v>
      </c>
      <c r="G329" s="209">
        <v>14500</v>
      </c>
      <c r="H329" s="209">
        <f>G329*F329</f>
        <v>1261500</v>
      </c>
    </row>
    <row r="330" ht="15.75" spans="1:8">
      <c r="A330" s="212"/>
      <c r="B330" s="205" t="s">
        <v>22</v>
      </c>
      <c r="C330" s="206">
        <f>D285</f>
        <v>6756</v>
      </c>
      <c r="D330" s="206">
        <v>6808</v>
      </c>
      <c r="E330" s="206">
        <f>D330-C330</f>
        <v>52</v>
      </c>
      <c r="F330" s="207"/>
      <c r="G330" s="209"/>
      <c r="H330" s="209"/>
    </row>
    <row r="331" ht="15.75" spans="1:8">
      <c r="A331" s="213"/>
      <c r="B331" s="213"/>
      <c r="C331" s="213"/>
      <c r="D331" s="213"/>
      <c r="E331" s="213"/>
      <c r="F331" s="213"/>
      <c r="G331" s="189" t="s">
        <v>23</v>
      </c>
      <c r="H331" s="214">
        <f>H327+H329</f>
        <v>12265900</v>
      </c>
    </row>
    <row r="332" spans="1:8">
      <c r="A332" s="213" t="s">
        <v>24</v>
      </c>
      <c r="B332" s="215">
        <f>H341</f>
        <v>12104500</v>
      </c>
      <c r="C332" s="213"/>
      <c r="D332" s="213"/>
      <c r="E332" s="213"/>
      <c r="F332" s="213"/>
      <c r="G332" s="196" t="s">
        <v>25</v>
      </c>
      <c r="H332" s="216">
        <v>11000000</v>
      </c>
    </row>
    <row r="333" ht="15.75" spans="1:8">
      <c r="A333" s="213" t="s">
        <v>26</v>
      </c>
      <c r="B333" s="217"/>
      <c r="C333" s="202"/>
      <c r="D333" s="213"/>
      <c r="E333" s="213"/>
      <c r="F333" s="213"/>
      <c r="G333" s="196" t="s">
        <v>27</v>
      </c>
      <c r="H333" s="218">
        <v>161400</v>
      </c>
    </row>
    <row r="334" ht="15.75" spans="1:8">
      <c r="A334" s="219" t="s">
        <v>18</v>
      </c>
      <c r="B334" s="215">
        <f>SUM(B332:B333)</f>
        <v>12104500</v>
      </c>
      <c r="C334" s="213"/>
      <c r="D334" s="213"/>
      <c r="E334" s="213"/>
      <c r="F334" s="213"/>
      <c r="G334" s="200" t="s">
        <v>28</v>
      </c>
      <c r="H334" s="220">
        <f>H331-H332-H333</f>
        <v>1104500</v>
      </c>
    </row>
    <row r="335" ht="15.75" spans="1:8">
      <c r="A335" s="202"/>
      <c r="C335" s="202"/>
      <c r="D335" s="202"/>
      <c r="E335" s="202"/>
      <c r="F335" s="202"/>
      <c r="G335" s="202"/>
      <c r="H335" s="202"/>
    </row>
    <row r="336" ht="15.75" spans="1:8">
      <c r="A336" s="202"/>
      <c r="B336" s="202"/>
      <c r="C336" s="202"/>
      <c r="D336" s="202"/>
      <c r="E336" s="202"/>
      <c r="F336" s="202"/>
      <c r="G336" s="202"/>
      <c r="H336" s="202"/>
    </row>
    <row r="337" ht="15.75" spans="1:8">
      <c r="A337" s="221" t="s">
        <v>23</v>
      </c>
      <c r="B337" s="222"/>
      <c r="C337" s="202"/>
      <c r="D337" s="202"/>
      <c r="E337" s="202"/>
      <c r="F337" s="202"/>
      <c r="G337" s="202"/>
      <c r="H337" s="202"/>
    </row>
    <row r="338" ht="15.75" spans="1:8">
      <c r="A338" s="205" t="s">
        <v>29</v>
      </c>
      <c r="B338" s="223">
        <f>F327</f>
        <v>902</v>
      </c>
      <c r="C338" s="202"/>
      <c r="D338" s="202"/>
      <c r="E338" s="202"/>
      <c r="F338" s="224" t="s">
        <v>30</v>
      </c>
      <c r="G338" s="224"/>
      <c r="H338" s="225">
        <f>H331</f>
        <v>12265900</v>
      </c>
    </row>
    <row r="339" ht="15.75" spans="1:8">
      <c r="A339" s="205" t="s">
        <v>31</v>
      </c>
      <c r="B339" s="223">
        <f>F329</f>
        <v>87</v>
      </c>
      <c r="C339" s="202"/>
      <c r="D339" s="202"/>
      <c r="E339" s="202"/>
      <c r="F339" s="224" t="s">
        <v>27</v>
      </c>
      <c r="G339" s="224"/>
      <c r="H339" s="225">
        <f>H333</f>
        <v>161400</v>
      </c>
    </row>
    <row r="340" ht="15.75" spans="1:8">
      <c r="A340" s="189"/>
      <c r="B340" s="226"/>
      <c r="C340" s="202"/>
      <c r="D340" s="202"/>
      <c r="E340" s="202"/>
      <c r="F340" s="224" t="s">
        <v>26</v>
      </c>
      <c r="G340" s="224"/>
      <c r="H340" s="227">
        <f>B333</f>
        <v>0</v>
      </c>
    </row>
    <row r="341" ht="15.75" spans="1:8">
      <c r="A341" s="228"/>
      <c r="B341" s="226"/>
      <c r="C341" s="202"/>
      <c r="D341" s="202"/>
      <c r="E341" s="202"/>
      <c r="F341" s="224" t="s">
        <v>28</v>
      </c>
      <c r="G341" s="224"/>
      <c r="H341" s="225">
        <f>H338-H339-H340</f>
        <v>12104500</v>
      </c>
    </row>
    <row r="343" ht="15.75" spans="1:8">
      <c r="A343" s="229"/>
      <c r="B343" s="230"/>
      <c r="C343" s="230"/>
      <c r="D343" s="230"/>
      <c r="E343" s="229"/>
      <c r="F343" s="231"/>
      <c r="G343" s="230"/>
      <c r="H343" s="230"/>
    </row>
    <row r="344" spans="1:8">
      <c r="A344" s="232"/>
      <c r="B344" s="233"/>
      <c r="C344" s="234"/>
      <c r="D344" s="234"/>
      <c r="E344" s="232"/>
      <c r="F344" s="233"/>
      <c r="G344" s="234"/>
      <c r="H344" s="234"/>
    </row>
    <row r="345" spans="1:8">
      <c r="A345" s="232"/>
      <c r="B345" s="233"/>
      <c r="C345" s="234"/>
      <c r="D345" s="234"/>
      <c r="E345" s="232"/>
      <c r="F345" s="233"/>
      <c r="G345" s="234"/>
      <c r="H345" s="234"/>
    </row>
    <row r="346" spans="1:8">
      <c r="A346" s="232"/>
      <c r="B346" s="233"/>
      <c r="C346" s="234"/>
      <c r="D346" s="234"/>
      <c r="E346" s="232"/>
      <c r="F346" s="233"/>
      <c r="G346" s="234"/>
      <c r="H346" s="234"/>
    </row>
    <row r="347" spans="1:8">
      <c r="A347" s="232"/>
      <c r="B347" s="233"/>
      <c r="C347" s="234"/>
      <c r="D347" s="234"/>
      <c r="E347" s="232"/>
      <c r="F347" s="233"/>
      <c r="G347" s="234"/>
      <c r="H347" s="234"/>
    </row>
    <row r="348" spans="1:8">
      <c r="A348" s="232"/>
      <c r="B348" s="233"/>
      <c r="C348" s="234"/>
      <c r="D348" s="234"/>
      <c r="E348" s="232"/>
      <c r="F348" s="233"/>
      <c r="G348" s="234"/>
      <c r="H348" s="234"/>
    </row>
    <row r="349" spans="1:8">
      <c r="A349" s="232"/>
      <c r="B349" s="233"/>
      <c r="C349" s="234"/>
      <c r="D349" s="234"/>
      <c r="E349" s="232"/>
      <c r="F349" s="233"/>
      <c r="G349" s="234"/>
      <c r="H349" s="234"/>
    </row>
    <row r="350" spans="1:8">
      <c r="A350" s="232"/>
      <c r="B350" s="233"/>
      <c r="C350" s="235"/>
      <c r="D350" s="235"/>
      <c r="E350" s="236"/>
      <c r="F350" s="236"/>
      <c r="G350" s="237"/>
      <c r="H350" s="237"/>
    </row>
    <row r="351" spans="1:8">
      <c r="A351" s="109"/>
      <c r="B351" s="109"/>
      <c r="C351" s="109"/>
      <c r="D351" s="109"/>
      <c r="E351" s="109"/>
      <c r="F351" s="109"/>
      <c r="G351" s="109"/>
      <c r="H351" s="109"/>
    </row>
    <row r="361" ht="18" spans="1:8">
      <c r="A361" s="109"/>
      <c r="B361" s="109"/>
      <c r="C361" s="184" t="s">
        <v>0</v>
      </c>
      <c r="D361" s="184"/>
      <c r="E361" s="184"/>
      <c r="F361" s="184"/>
      <c r="G361" s="184"/>
      <c r="H361" s="184"/>
    </row>
    <row r="362" ht="18" spans="1:8">
      <c r="A362" s="185"/>
      <c r="B362" s="185"/>
      <c r="C362" s="186" t="s">
        <v>1</v>
      </c>
      <c r="D362" s="186"/>
      <c r="E362" s="186"/>
      <c r="F362" s="186"/>
      <c r="G362" s="186"/>
      <c r="H362" s="186"/>
    </row>
    <row r="363" ht="18" spans="1:8">
      <c r="A363" s="187"/>
      <c r="B363" s="187"/>
      <c r="C363" s="188" t="s">
        <v>2</v>
      </c>
      <c r="D363" s="188"/>
      <c r="E363" s="188"/>
      <c r="F363" s="188"/>
      <c r="G363" s="188"/>
      <c r="H363" s="188"/>
    </row>
    <row r="364" ht="15.75" spans="1:8">
      <c r="A364" s="187"/>
      <c r="B364" s="189"/>
      <c r="C364" s="190"/>
      <c r="D364" s="190"/>
      <c r="E364" s="190"/>
      <c r="F364" s="191"/>
      <c r="G364" s="192"/>
      <c r="H364" s="192"/>
    </row>
    <row r="365" ht="15.75" spans="1:8">
      <c r="A365" s="187"/>
      <c r="B365" s="189"/>
      <c r="C365" s="190"/>
      <c r="D365" s="190"/>
      <c r="E365" s="190"/>
      <c r="F365" s="193"/>
      <c r="G365" s="194"/>
      <c r="H365" s="195"/>
    </row>
    <row r="366" ht="15.75" spans="1:8">
      <c r="A366" s="196" t="s">
        <v>3</v>
      </c>
      <c r="B366" s="196" t="s">
        <v>42</v>
      </c>
      <c r="C366" s="196"/>
      <c r="D366" s="196"/>
      <c r="E366" s="196"/>
      <c r="F366" s="196" t="s">
        <v>5</v>
      </c>
      <c r="G366" s="197">
        <v>0.208333333333333</v>
      </c>
      <c r="H366" s="198"/>
    </row>
    <row r="367" spans="1:8">
      <c r="A367" s="196" t="s">
        <v>6</v>
      </c>
      <c r="B367" s="195" t="s">
        <v>7</v>
      </c>
      <c r="C367" s="196"/>
      <c r="D367" s="196"/>
      <c r="E367" s="196"/>
      <c r="F367" s="196" t="s">
        <v>8</v>
      </c>
      <c r="G367" s="199">
        <v>0.875</v>
      </c>
      <c r="H367" s="195"/>
    </row>
    <row r="368" spans="1:8">
      <c r="A368" s="196" t="s">
        <v>9</v>
      </c>
      <c r="B368" s="195" t="s">
        <v>33</v>
      </c>
      <c r="C368" s="196"/>
      <c r="D368" s="196"/>
      <c r="E368" s="196"/>
      <c r="F368" s="196"/>
      <c r="G368" s="196"/>
      <c r="H368" s="195"/>
    </row>
    <row r="369" ht="15.75" spans="1:8">
      <c r="A369" s="189"/>
      <c r="B369" s="195"/>
      <c r="C369" s="196"/>
      <c r="D369" s="196"/>
      <c r="E369" s="196"/>
      <c r="F369" s="196"/>
      <c r="G369" s="200"/>
      <c r="H369" s="201"/>
    </row>
    <row r="370" ht="15.75" spans="1:8">
      <c r="A370" s="202"/>
      <c r="B370" s="202"/>
      <c r="C370" s="202"/>
      <c r="D370" s="202"/>
      <c r="E370" s="202"/>
      <c r="F370" s="202"/>
      <c r="G370" s="202"/>
      <c r="H370" s="202"/>
    </row>
    <row r="371" ht="15.75" spans="1:8">
      <c r="A371" s="203" t="s">
        <v>11</v>
      </c>
      <c r="B371" s="203" t="s">
        <v>12</v>
      </c>
      <c r="C371" s="203" t="s">
        <v>13</v>
      </c>
      <c r="D371" s="203" t="s">
        <v>14</v>
      </c>
      <c r="E371" s="203" t="s">
        <v>15</v>
      </c>
      <c r="F371" s="203" t="s">
        <v>16</v>
      </c>
      <c r="G371" s="203" t="s">
        <v>17</v>
      </c>
      <c r="H371" s="203" t="s">
        <v>18</v>
      </c>
    </row>
    <row r="372" ht="15.75" spans="1:8">
      <c r="A372" s="204">
        <v>1</v>
      </c>
      <c r="B372" s="205" t="s">
        <v>19</v>
      </c>
      <c r="C372" s="206">
        <f>D327</f>
        <v>34461</v>
      </c>
      <c r="D372" s="206">
        <v>34928</v>
      </c>
      <c r="E372" s="206">
        <f>D372-C372</f>
        <v>467</v>
      </c>
      <c r="F372" s="207">
        <f>SUM(E372:E373)</f>
        <v>909</v>
      </c>
      <c r="G372" s="208">
        <v>12200</v>
      </c>
      <c r="H372" s="209">
        <f>F372*G372</f>
        <v>11089800</v>
      </c>
    </row>
    <row r="373" ht="15.75" spans="1:8">
      <c r="A373" s="210"/>
      <c r="B373" s="205" t="s">
        <v>20</v>
      </c>
      <c r="C373" s="206">
        <f>D328</f>
        <v>35973</v>
      </c>
      <c r="D373" s="206">
        <v>36415</v>
      </c>
      <c r="E373" s="206">
        <f>D373-C373</f>
        <v>442</v>
      </c>
      <c r="F373" s="207"/>
      <c r="G373" s="211"/>
      <c r="H373" s="209"/>
    </row>
    <row r="374" ht="15.75" spans="1:8">
      <c r="A374" s="210"/>
      <c r="B374" s="205" t="s">
        <v>21</v>
      </c>
      <c r="C374" s="206">
        <f>D329</f>
        <v>6673</v>
      </c>
      <c r="D374" s="206">
        <v>6715</v>
      </c>
      <c r="E374" s="206">
        <f>D374-C374</f>
        <v>42</v>
      </c>
      <c r="F374" s="207">
        <f>SUM(E374:E375)</f>
        <v>74</v>
      </c>
      <c r="G374" s="209">
        <v>14500</v>
      </c>
      <c r="H374" s="209">
        <f>G374*F374</f>
        <v>1073000</v>
      </c>
    </row>
    <row r="375" ht="15.75" spans="1:8">
      <c r="A375" s="212"/>
      <c r="B375" s="205" t="s">
        <v>22</v>
      </c>
      <c r="C375" s="206">
        <f>D330</f>
        <v>6808</v>
      </c>
      <c r="D375" s="206">
        <v>6840</v>
      </c>
      <c r="E375" s="206">
        <f>D375-C375</f>
        <v>32</v>
      </c>
      <c r="F375" s="207"/>
      <c r="G375" s="209"/>
      <c r="H375" s="209"/>
    </row>
    <row r="376" ht="15.75" spans="1:8">
      <c r="A376" s="213"/>
      <c r="B376" s="213"/>
      <c r="C376" s="213"/>
      <c r="D376" s="213"/>
      <c r="E376" s="213"/>
      <c r="F376" s="213"/>
      <c r="G376" s="189" t="s">
        <v>23</v>
      </c>
      <c r="H376" s="214">
        <f>H372+H374</f>
        <v>12162800</v>
      </c>
    </row>
    <row r="377" spans="1:8">
      <c r="A377" s="213" t="s">
        <v>24</v>
      </c>
      <c r="B377" s="215">
        <f>H386</f>
        <v>11538000</v>
      </c>
      <c r="C377" s="213"/>
      <c r="D377" s="213"/>
      <c r="E377" s="213"/>
      <c r="F377" s="213"/>
      <c r="G377" s="196" t="s">
        <v>25</v>
      </c>
      <c r="H377" s="216">
        <v>9000000</v>
      </c>
    </row>
    <row r="378" ht="15.75" spans="1:8">
      <c r="A378" s="213" t="s">
        <v>26</v>
      </c>
      <c r="B378" s="217"/>
      <c r="C378" s="202"/>
      <c r="D378" s="213"/>
      <c r="E378" s="213"/>
      <c r="F378" s="213"/>
      <c r="G378" s="196" t="s">
        <v>27</v>
      </c>
      <c r="H378" s="218">
        <v>625000</v>
      </c>
    </row>
    <row r="379" ht="15.75" spans="1:8">
      <c r="A379" s="219" t="s">
        <v>18</v>
      </c>
      <c r="B379" s="215">
        <f>SUM(B377:B378)</f>
        <v>11538000</v>
      </c>
      <c r="C379" s="213"/>
      <c r="D379" s="213"/>
      <c r="E379" s="213"/>
      <c r="F379" s="213"/>
      <c r="G379" s="200" t="s">
        <v>28</v>
      </c>
      <c r="H379" s="220">
        <f>H376-H377-H378</f>
        <v>2537800</v>
      </c>
    </row>
    <row r="380" ht="15.75" spans="1:8">
      <c r="A380" s="202"/>
      <c r="C380" s="202"/>
      <c r="D380" s="202"/>
      <c r="E380" s="202"/>
      <c r="F380" s="202"/>
      <c r="G380" s="202"/>
      <c r="H380" s="202"/>
    </row>
    <row r="381" ht="15.75" spans="1:8">
      <c r="A381" s="202"/>
      <c r="B381" s="202"/>
      <c r="C381" s="202"/>
      <c r="D381" s="202"/>
      <c r="E381" s="202"/>
      <c r="F381" s="202"/>
      <c r="G381" s="202"/>
      <c r="H381" s="202"/>
    </row>
    <row r="382" ht="15.75" spans="1:8">
      <c r="A382" s="221" t="s">
        <v>23</v>
      </c>
      <c r="B382" s="222"/>
      <c r="C382" s="202"/>
      <c r="D382" s="202"/>
      <c r="E382" s="202"/>
      <c r="F382" s="202"/>
      <c r="G382" s="202"/>
      <c r="H382" s="202"/>
    </row>
    <row r="383" ht="15.75" spans="1:8">
      <c r="A383" s="205" t="s">
        <v>29</v>
      </c>
      <c r="B383" s="223">
        <f>F372</f>
        <v>909</v>
      </c>
      <c r="C383" s="202"/>
      <c r="D383" s="202"/>
      <c r="E383" s="202"/>
      <c r="F383" s="224" t="s">
        <v>30</v>
      </c>
      <c r="G383" s="224"/>
      <c r="H383" s="225">
        <v>12163000</v>
      </c>
    </row>
    <row r="384" ht="15.75" spans="1:8">
      <c r="A384" s="205" t="s">
        <v>31</v>
      </c>
      <c r="B384" s="223">
        <f>F374</f>
        <v>74</v>
      </c>
      <c r="C384" s="202"/>
      <c r="D384" s="202"/>
      <c r="E384" s="202"/>
      <c r="F384" s="224" t="s">
        <v>27</v>
      </c>
      <c r="G384" s="224"/>
      <c r="H384" s="225">
        <f>H378</f>
        <v>625000</v>
      </c>
    </row>
    <row r="385" ht="15.75" spans="1:8">
      <c r="A385" s="189"/>
      <c r="B385" s="226"/>
      <c r="C385" s="202"/>
      <c r="D385" s="202"/>
      <c r="E385" s="202"/>
      <c r="F385" s="224" t="s">
        <v>26</v>
      </c>
      <c r="G385" s="224"/>
      <c r="H385" s="227">
        <f>B378</f>
        <v>0</v>
      </c>
    </row>
    <row r="386" ht="15.75" spans="1:8">
      <c r="A386" s="228"/>
      <c r="B386" s="226"/>
      <c r="C386" s="202"/>
      <c r="D386" s="202"/>
      <c r="E386" s="202"/>
      <c r="F386" s="224" t="s">
        <v>28</v>
      </c>
      <c r="G386" s="224"/>
      <c r="H386" s="225">
        <f>H383-H384-H385</f>
        <v>11538000</v>
      </c>
    </row>
    <row r="388" ht="15.75" spans="1:8">
      <c r="A388" s="229"/>
      <c r="B388" s="230"/>
      <c r="C388" s="230"/>
      <c r="D388" s="230"/>
      <c r="E388" s="229"/>
      <c r="F388" s="231"/>
      <c r="G388" s="230"/>
      <c r="H388" s="230"/>
    </row>
    <row r="389" spans="1:8">
      <c r="A389" s="232"/>
      <c r="B389" s="233"/>
      <c r="C389" s="234"/>
      <c r="D389" s="234"/>
      <c r="E389" s="232"/>
      <c r="F389" s="233"/>
      <c r="G389" s="234"/>
      <c r="H389" s="234"/>
    </row>
    <row r="390" spans="1:8">
      <c r="A390" s="232"/>
      <c r="B390" s="233"/>
      <c r="C390" s="234"/>
      <c r="D390" s="234"/>
      <c r="E390" s="232"/>
      <c r="F390" s="233"/>
      <c r="G390" s="234"/>
      <c r="H390" s="234"/>
    </row>
    <row r="391" spans="1:8">
      <c r="A391" s="232"/>
      <c r="B391" s="233"/>
      <c r="C391" s="234"/>
      <c r="D391" s="234"/>
      <c r="E391" s="232"/>
      <c r="F391" s="233"/>
      <c r="G391" s="234"/>
      <c r="H391" s="234"/>
    </row>
    <row r="392" spans="1:8">
      <c r="A392" s="232"/>
      <c r="B392" s="233"/>
      <c r="C392" s="234"/>
      <c r="D392" s="234"/>
      <c r="E392" s="232"/>
      <c r="F392" s="233"/>
      <c r="G392" s="234"/>
      <c r="H392" s="234"/>
    </row>
    <row r="393" spans="1:8">
      <c r="A393" s="232"/>
      <c r="B393" s="233"/>
      <c r="C393" s="234"/>
      <c r="D393" s="234"/>
      <c r="E393" s="232"/>
      <c r="F393" s="233"/>
      <c r="G393" s="234"/>
      <c r="H393" s="234"/>
    </row>
    <row r="394" spans="1:8">
      <c r="A394" s="232"/>
      <c r="B394" s="233"/>
      <c r="C394" s="234"/>
      <c r="D394" s="234"/>
      <c r="E394" s="232"/>
      <c r="F394" s="233"/>
      <c r="G394" s="234"/>
      <c r="H394" s="234"/>
    </row>
    <row r="395" spans="1:8">
      <c r="A395" s="232"/>
      <c r="B395" s="233"/>
      <c r="C395" s="235"/>
      <c r="D395" s="235"/>
      <c r="E395" s="236"/>
      <c r="F395" s="236"/>
      <c r="G395" s="237"/>
      <c r="H395" s="237"/>
    </row>
    <row r="396" spans="1:8">
      <c r="A396" s="109"/>
      <c r="B396" s="109"/>
      <c r="C396" s="109"/>
      <c r="D396" s="109"/>
      <c r="E396" s="109"/>
      <c r="F396" s="109"/>
      <c r="G396" s="109"/>
      <c r="H396" s="109"/>
    </row>
    <row r="406" ht="18" spans="1:8">
      <c r="A406" s="109"/>
      <c r="B406" s="109"/>
      <c r="C406" s="184" t="s">
        <v>0</v>
      </c>
      <c r="D406" s="184"/>
      <c r="E406" s="184"/>
      <c r="F406" s="184"/>
      <c r="G406" s="184"/>
      <c r="H406" s="184"/>
    </row>
    <row r="407" ht="18" spans="1:8">
      <c r="A407" s="185"/>
      <c r="B407" s="185"/>
      <c r="C407" s="186" t="s">
        <v>1</v>
      </c>
      <c r="D407" s="186"/>
      <c r="E407" s="186"/>
      <c r="F407" s="186"/>
      <c r="G407" s="186"/>
      <c r="H407" s="186"/>
    </row>
    <row r="408" ht="18" spans="1:8">
      <c r="A408" s="187"/>
      <c r="B408" s="187"/>
      <c r="C408" s="188" t="s">
        <v>2</v>
      </c>
      <c r="D408" s="188"/>
      <c r="E408" s="188"/>
      <c r="F408" s="188"/>
      <c r="G408" s="188"/>
      <c r="H408" s="188"/>
    </row>
    <row r="409" ht="15.75" spans="1:8">
      <c r="A409" s="187"/>
      <c r="B409" s="189"/>
      <c r="C409" s="190"/>
      <c r="D409" s="190"/>
      <c r="E409" s="190"/>
      <c r="F409" s="191"/>
      <c r="G409" s="192"/>
      <c r="H409" s="192"/>
    </row>
    <row r="410" ht="15.75" spans="1:8">
      <c r="A410" s="187"/>
      <c r="B410" s="189"/>
      <c r="C410" s="190"/>
      <c r="D410" s="190"/>
      <c r="E410" s="190"/>
      <c r="F410" s="193"/>
      <c r="G410" s="194"/>
      <c r="H410" s="195"/>
    </row>
    <row r="411" ht="15.75" spans="1:8">
      <c r="A411" s="196" t="s">
        <v>3</v>
      </c>
      <c r="B411" s="196" t="s">
        <v>43</v>
      </c>
      <c r="C411" s="196"/>
      <c r="D411" s="196"/>
      <c r="E411" s="196"/>
      <c r="F411" s="196" t="s">
        <v>5</v>
      </c>
      <c r="G411" s="197">
        <v>0.208333333333333</v>
      </c>
      <c r="H411" s="198"/>
    </row>
    <row r="412" spans="1:8">
      <c r="A412" s="196" t="s">
        <v>6</v>
      </c>
      <c r="B412" s="195" t="s">
        <v>10</v>
      </c>
      <c r="C412" s="196"/>
      <c r="D412" s="196"/>
      <c r="E412" s="196"/>
      <c r="F412" s="196" t="s">
        <v>8</v>
      </c>
      <c r="G412" s="199">
        <v>0.875</v>
      </c>
      <c r="H412" s="195"/>
    </row>
    <row r="413" spans="1:8">
      <c r="A413" s="196" t="s">
        <v>9</v>
      </c>
      <c r="B413" s="195" t="s">
        <v>33</v>
      </c>
      <c r="C413" s="196"/>
      <c r="D413" s="196"/>
      <c r="E413" s="196"/>
      <c r="F413" s="196"/>
      <c r="G413" s="196"/>
      <c r="H413" s="195"/>
    </row>
    <row r="414" ht="15.75" spans="1:8">
      <c r="A414" s="189"/>
      <c r="B414" s="195"/>
      <c r="C414" s="196"/>
      <c r="D414" s="196"/>
      <c r="E414" s="196"/>
      <c r="F414" s="196"/>
      <c r="G414" s="200"/>
      <c r="H414" s="201"/>
    </row>
    <row r="415" ht="15.75" spans="1:8">
      <c r="A415" s="202"/>
      <c r="B415" s="202"/>
      <c r="C415" s="202"/>
      <c r="D415" s="202"/>
      <c r="E415" s="202"/>
      <c r="F415" s="202"/>
      <c r="G415" s="202"/>
      <c r="H415" s="202"/>
    </row>
    <row r="416" ht="15.75" spans="1:8">
      <c r="A416" s="203" t="s">
        <v>11</v>
      </c>
      <c r="B416" s="203" t="s">
        <v>12</v>
      </c>
      <c r="C416" s="203" t="s">
        <v>13</v>
      </c>
      <c r="D416" s="203" t="s">
        <v>14</v>
      </c>
      <c r="E416" s="203" t="s">
        <v>15</v>
      </c>
      <c r="F416" s="203" t="s">
        <v>16</v>
      </c>
      <c r="G416" s="203" t="s">
        <v>17</v>
      </c>
      <c r="H416" s="203" t="s">
        <v>18</v>
      </c>
    </row>
    <row r="417" ht="15.75" spans="1:8">
      <c r="A417" s="204">
        <v>1</v>
      </c>
      <c r="B417" s="205" t="s">
        <v>19</v>
      </c>
      <c r="C417" s="206">
        <f>D372</f>
        <v>34928</v>
      </c>
      <c r="D417" s="206">
        <v>35318</v>
      </c>
      <c r="E417" s="206">
        <f>D417-C417</f>
        <v>390</v>
      </c>
      <c r="F417" s="207">
        <f>SUM(E417:E418)</f>
        <v>862</v>
      </c>
      <c r="G417" s="208">
        <v>12200</v>
      </c>
      <c r="H417" s="209">
        <f>F417*G417</f>
        <v>10516400</v>
      </c>
    </row>
    <row r="418" ht="15.75" spans="1:8">
      <c r="A418" s="210"/>
      <c r="B418" s="205" t="s">
        <v>20</v>
      </c>
      <c r="C418" s="206">
        <f>D373</f>
        <v>36415</v>
      </c>
      <c r="D418" s="206">
        <v>36887</v>
      </c>
      <c r="E418" s="206">
        <f>D418-C418</f>
        <v>472</v>
      </c>
      <c r="F418" s="207"/>
      <c r="G418" s="211"/>
      <c r="H418" s="209"/>
    </row>
    <row r="419" ht="15.75" spans="1:8">
      <c r="A419" s="210"/>
      <c r="B419" s="205" t="s">
        <v>21</v>
      </c>
      <c r="C419" s="206">
        <f>D374</f>
        <v>6715</v>
      </c>
      <c r="D419" s="206">
        <v>6745</v>
      </c>
      <c r="E419" s="206">
        <f>D419-C419</f>
        <v>30</v>
      </c>
      <c r="F419" s="207">
        <f>SUM(E419:E420)</f>
        <v>30</v>
      </c>
      <c r="G419" s="209">
        <v>14500</v>
      </c>
      <c r="H419" s="209">
        <f>G419*F419</f>
        <v>435000</v>
      </c>
    </row>
    <row r="420" ht="15.75" spans="1:8">
      <c r="A420" s="212"/>
      <c r="B420" s="205" t="s">
        <v>22</v>
      </c>
      <c r="C420" s="206">
        <f>D375</f>
        <v>6840</v>
      </c>
      <c r="D420" s="206">
        <v>6840</v>
      </c>
      <c r="E420" s="206">
        <f>D420-C420</f>
        <v>0</v>
      </c>
      <c r="F420" s="207"/>
      <c r="G420" s="209"/>
      <c r="H420" s="209"/>
    </row>
    <row r="421" ht="15.75" spans="1:8">
      <c r="A421" s="213"/>
      <c r="B421" s="213"/>
      <c r="C421" s="213"/>
      <c r="D421" s="213"/>
      <c r="E421" s="213"/>
      <c r="F421" s="213"/>
      <c r="G421" s="189" t="s">
        <v>23</v>
      </c>
      <c r="H421" s="214">
        <f>H417+H419</f>
        <v>10951400</v>
      </c>
    </row>
    <row r="422" spans="1:8">
      <c r="A422" s="213" t="s">
        <v>24</v>
      </c>
      <c r="B422" s="215">
        <f>H431</f>
        <v>10625000</v>
      </c>
      <c r="C422" s="213"/>
      <c r="D422" s="213"/>
      <c r="E422" s="213"/>
      <c r="F422" s="213"/>
      <c r="G422" s="196" t="s">
        <v>25</v>
      </c>
      <c r="H422" s="216">
        <v>10000000</v>
      </c>
    </row>
    <row r="423" ht="15.75" spans="1:8">
      <c r="A423" s="213" t="s">
        <v>26</v>
      </c>
      <c r="B423" s="217">
        <v>500</v>
      </c>
      <c r="C423" s="202"/>
      <c r="D423" s="213"/>
      <c r="E423" s="213"/>
      <c r="F423" s="213"/>
      <c r="G423" s="196" t="s">
        <v>27</v>
      </c>
      <c r="H423" s="218">
        <v>326000</v>
      </c>
    </row>
    <row r="424" ht="15.75" spans="1:8">
      <c r="A424" s="219" t="s">
        <v>18</v>
      </c>
      <c r="B424" s="215">
        <f>SUM(B422:B423)</f>
        <v>10625500</v>
      </c>
      <c r="C424" s="213"/>
      <c r="D424" s="213"/>
      <c r="E424" s="213"/>
      <c r="F424" s="213"/>
      <c r="G424" s="200" t="s">
        <v>28</v>
      </c>
      <c r="H424" s="220">
        <f>H421-H422-H423</f>
        <v>625400</v>
      </c>
    </row>
    <row r="425" ht="15.75" spans="1:8">
      <c r="A425" s="202"/>
      <c r="C425" s="202"/>
      <c r="D425" s="202"/>
      <c r="E425" s="202"/>
      <c r="F425" s="202"/>
      <c r="G425" s="202"/>
      <c r="H425" s="202"/>
    </row>
    <row r="426" ht="15.75" spans="1:8">
      <c r="A426" s="202"/>
      <c r="B426" s="202"/>
      <c r="C426" s="202"/>
      <c r="D426" s="202"/>
      <c r="E426" s="202"/>
      <c r="F426" s="202"/>
      <c r="G426" s="202"/>
      <c r="H426" s="202"/>
    </row>
    <row r="427" ht="15.75" spans="1:8">
      <c r="A427" s="221" t="s">
        <v>23</v>
      </c>
      <c r="B427" s="222"/>
      <c r="C427" s="202"/>
      <c r="D427" s="202"/>
      <c r="E427" s="202"/>
      <c r="F427" s="202"/>
      <c r="G427" s="202"/>
      <c r="H427" s="202"/>
    </row>
    <row r="428" ht="15.75" spans="1:8">
      <c r="A428" s="205" t="s">
        <v>29</v>
      </c>
      <c r="B428" s="223">
        <f>F417</f>
        <v>862</v>
      </c>
      <c r="C428" s="202"/>
      <c r="D428" s="202"/>
      <c r="E428" s="202"/>
      <c r="F428" s="224" t="s">
        <v>30</v>
      </c>
      <c r="G428" s="224"/>
      <c r="H428" s="225">
        <v>10951500</v>
      </c>
    </row>
    <row r="429" ht="15.75" spans="1:8">
      <c r="A429" s="205" t="s">
        <v>31</v>
      </c>
      <c r="B429" s="223">
        <f>F419</f>
        <v>30</v>
      </c>
      <c r="C429" s="202"/>
      <c r="D429" s="202"/>
      <c r="E429" s="202"/>
      <c r="F429" s="224" t="s">
        <v>27</v>
      </c>
      <c r="G429" s="224"/>
      <c r="H429" s="225">
        <f>H423</f>
        <v>326000</v>
      </c>
    </row>
    <row r="430" ht="15.75" spans="1:8">
      <c r="A430" s="189"/>
      <c r="B430" s="226"/>
      <c r="C430" s="202"/>
      <c r="D430" s="202"/>
      <c r="E430" s="202"/>
      <c r="F430" s="224" t="s">
        <v>26</v>
      </c>
      <c r="G430" s="224"/>
      <c r="H430" s="227">
        <f>B423</f>
        <v>500</v>
      </c>
    </row>
    <row r="431" ht="15.75" spans="1:8">
      <c r="A431" s="228"/>
      <c r="B431" s="226"/>
      <c r="C431" s="202"/>
      <c r="D431" s="202"/>
      <c r="E431" s="202"/>
      <c r="F431" s="224" t="s">
        <v>28</v>
      </c>
      <c r="G431" s="224"/>
      <c r="H431" s="225">
        <f>H428-H429-H430</f>
        <v>10625000</v>
      </c>
    </row>
    <row r="433" ht="15.75" spans="1:8">
      <c r="A433" s="229"/>
      <c r="B433" s="230"/>
      <c r="C433" s="230"/>
      <c r="D433" s="230"/>
      <c r="E433" s="229"/>
      <c r="F433" s="231"/>
      <c r="G433" s="230"/>
      <c r="H433" s="230"/>
    </row>
    <row r="434" spans="1:8">
      <c r="A434" s="232"/>
      <c r="B434" s="233"/>
      <c r="C434" s="234"/>
      <c r="D434" s="234"/>
      <c r="E434" s="232"/>
      <c r="F434" s="233"/>
      <c r="G434" s="234"/>
      <c r="H434" s="234"/>
    </row>
    <row r="435" spans="1:8">
      <c r="A435" s="232"/>
      <c r="B435" s="233"/>
      <c r="C435" s="234"/>
      <c r="D435" s="234"/>
      <c r="E435" s="232"/>
      <c r="F435" s="233"/>
      <c r="G435" s="234"/>
      <c r="H435" s="234"/>
    </row>
    <row r="436" spans="1:8">
      <c r="A436" s="232"/>
      <c r="B436" s="233"/>
      <c r="C436" s="234"/>
      <c r="D436" s="234"/>
      <c r="E436" s="232"/>
      <c r="F436" s="233"/>
      <c r="G436" s="234"/>
      <c r="H436" s="234"/>
    </row>
    <row r="437" spans="1:8">
      <c r="A437" s="232"/>
      <c r="B437" s="233"/>
      <c r="C437" s="234"/>
      <c r="D437" s="234"/>
      <c r="E437" s="232"/>
      <c r="F437" s="233"/>
      <c r="G437" s="234"/>
      <c r="H437" s="234"/>
    </row>
    <row r="438" spans="1:8">
      <c r="A438" s="232"/>
      <c r="B438" s="233"/>
      <c r="C438" s="234"/>
      <c r="D438" s="234"/>
      <c r="E438" s="232"/>
      <c r="F438" s="233"/>
      <c r="G438" s="234"/>
      <c r="H438" s="234"/>
    </row>
    <row r="439" spans="1:8">
      <c r="A439" s="232"/>
      <c r="B439" s="233"/>
      <c r="C439" s="234"/>
      <c r="D439" s="234"/>
      <c r="E439" s="232"/>
      <c r="F439" s="233"/>
      <c r="G439" s="234"/>
      <c r="H439" s="234"/>
    </row>
    <row r="440" spans="1:8">
      <c r="A440" s="232"/>
      <c r="B440" s="233"/>
      <c r="C440" s="235"/>
      <c r="D440" s="235"/>
      <c r="E440" s="236"/>
      <c r="F440" s="236"/>
      <c r="G440" s="237"/>
      <c r="H440" s="237"/>
    </row>
    <row r="441" spans="1:8">
      <c r="A441" s="109"/>
      <c r="B441" s="109"/>
      <c r="C441" s="109"/>
      <c r="D441" s="109"/>
      <c r="E441" s="109"/>
      <c r="F441" s="109"/>
      <c r="G441" s="109"/>
      <c r="H441" s="109"/>
    </row>
    <row r="451" ht="18" spans="1:8">
      <c r="A451" s="109"/>
      <c r="B451" s="109"/>
      <c r="C451" s="184" t="s">
        <v>0</v>
      </c>
      <c r="D451" s="184"/>
      <c r="E451" s="184"/>
      <c r="F451" s="184"/>
      <c r="G451" s="184"/>
      <c r="H451" s="184"/>
    </row>
    <row r="452" ht="18" spans="1:8">
      <c r="A452" s="185"/>
      <c r="B452" s="185"/>
      <c r="C452" s="186" t="s">
        <v>1</v>
      </c>
      <c r="D452" s="186"/>
      <c r="E452" s="186"/>
      <c r="F452" s="186"/>
      <c r="G452" s="186"/>
      <c r="H452" s="186"/>
    </row>
    <row r="453" ht="18" spans="1:8">
      <c r="A453" s="187"/>
      <c r="B453" s="187"/>
      <c r="C453" s="188" t="s">
        <v>2</v>
      </c>
      <c r="D453" s="188"/>
      <c r="E453" s="188"/>
      <c r="F453" s="188"/>
      <c r="G453" s="188"/>
      <c r="H453" s="188"/>
    </row>
    <row r="454" ht="15.75" spans="1:8">
      <c r="A454" s="187"/>
      <c r="B454" s="189"/>
      <c r="C454" s="190"/>
      <c r="D454" s="190"/>
      <c r="E454" s="190"/>
      <c r="F454" s="191"/>
      <c r="G454" s="192"/>
      <c r="H454" s="192"/>
    </row>
    <row r="455" ht="15.75" spans="1:8">
      <c r="A455" s="187"/>
      <c r="B455" s="189"/>
      <c r="C455" s="190"/>
      <c r="D455" s="190"/>
      <c r="E455" s="190"/>
      <c r="F455" s="193"/>
      <c r="G455" s="194"/>
      <c r="H455" s="195"/>
    </row>
    <row r="456" ht="15.75" spans="1:8">
      <c r="A456" s="196" t="s">
        <v>3</v>
      </c>
      <c r="B456" s="196" t="s">
        <v>44</v>
      </c>
      <c r="C456" s="196"/>
      <c r="D456" s="196"/>
      <c r="E456" s="196"/>
      <c r="F456" s="196" t="s">
        <v>5</v>
      </c>
      <c r="G456" s="197">
        <v>0.208333333333333</v>
      </c>
      <c r="H456" s="198"/>
    </row>
    <row r="457" spans="1:8">
      <c r="A457" s="196" t="s">
        <v>6</v>
      </c>
      <c r="B457" s="195" t="s">
        <v>7</v>
      </c>
      <c r="C457" s="196"/>
      <c r="D457" s="196"/>
      <c r="E457" s="196"/>
      <c r="F457" s="196" t="s">
        <v>8</v>
      </c>
      <c r="G457" s="199">
        <v>0.875</v>
      </c>
      <c r="H457" s="195"/>
    </row>
    <row r="458" spans="1:8">
      <c r="A458" s="196" t="s">
        <v>9</v>
      </c>
      <c r="B458" s="195" t="s">
        <v>33</v>
      </c>
      <c r="C458" s="196"/>
      <c r="D458" s="196"/>
      <c r="E458" s="196"/>
      <c r="F458" s="196"/>
      <c r="G458" s="196"/>
      <c r="H458" s="195"/>
    </row>
    <row r="459" ht="15.75" spans="1:8">
      <c r="A459" s="189"/>
      <c r="B459" s="195"/>
      <c r="C459" s="196"/>
      <c r="D459" s="196"/>
      <c r="E459" s="196"/>
      <c r="F459" s="196"/>
      <c r="G459" s="200"/>
      <c r="H459" s="201"/>
    </row>
    <row r="460" ht="15.75" spans="1:8">
      <c r="A460" s="202"/>
      <c r="B460" s="202"/>
      <c r="C460" s="202"/>
      <c r="D460" s="202"/>
      <c r="E460" s="202"/>
      <c r="F460" s="202"/>
      <c r="G460" s="202"/>
      <c r="H460" s="202"/>
    </row>
    <row r="461" ht="15.75" spans="1:8">
      <c r="A461" s="203" t="s">
        <v>11</v>
      </c>
      <c r="B461" s="203" t="s">
        <v>12</v>
      </c>
      <c r="C461" s="203" t="s">
        <v>13</v>
      </c>
      <c r="D461" s="203" t="s">
        <v>14</v>
      </c>
      <c r="E461" s="203" t="s">
        <v>15</v>
      </c>
      <c r="F461" s="203" t="s">
        <v>16</v>
      </c>
      <c r="G461" s="203" t="s">
        <v>17</v>
      </c>
      <c r="H461" s="203" t="s">
        <v>18</v>
      </c>
    </row>
    <row r="462" ht="15.75" spans="1:8">
      <c r="A462" s="204">
        <v>1</v>
      </c>
      <c r="B462" s="205" t="s">
        <v>19</v>
      </c>
      <c r="C462" s="206">
        <f>D417</f>
        <v>35318</v>
      </c>
      <c r="D462" s="206">
        <v>35864</v>
      </c>
      <c r="E462" s="206">
        <f>D462-C462</f>
        <v>546</v>
      </c>
      <c r="F462" s="207">
        <f>SUM(E462:E463)</f>
        <v>1141</v>
      </c>
      <c r="G462" s="208">
        <v>12200</v>
      </c>
      <c r="H462" s="209">
        <f>F462*G462</f>
        <v>13920200</v>
      </c>
    </row>
    <row r="463" ht="15.75" spans="1:8">
      <c r="A463" s="210"/>
      <c r="B463" s="205" t="s">
        <v>20</v>
      </c>
      <c r="C463" s="206">
        <f>D418</f>
        <v>36887</v>
      </c>
      <c r="D463" s="206">
        <v>37482</v>
      </c>
      <c r="E463" s="206">
        <f>D463-C463</f>
        <v>595</v>
      </c>
      <c r="F463" s="207"/>
      <c r="G463" s="211"/>
      <c r="H463" s="209"/>
    </row>
    <row r="464" ht="15.75" spans="1:8">
      <c r="A464" s="210"/>
      <c r="B464" s="205" t="s">
        <v>21</v>
      </c>
      <c r="C464" s="206">
        <f>D419</f>
        <v>6745</v>
      </c>
      <c r="D464" s="206">
        <v>6745</v>
      </c>
      <c r="E464" s="206">
        <f>D464-C464</f>
        <v>0</v>
      </c>
      <c r="F464" s="207">
        <f>SUM(E464:E465)</f>
        <v>14</v>
      </c>
      <c r="G464" s="209">
        <v>14500</v>
      </c>
      <c r="H464" s="209">
        <f>G464*F464</f>
        <v>203000</v>
      </c>
    </row>
    <row r="465" ht="15.75" spans="1:8">
      <c r="A465" s="212"/>
      <c r="B465" s="205" t="s">
        <v>22</v>
      </c>
      <c r="C465" s="206">
        <f>D420</f>
        <v>6840</v>
      </c>
      <c r="D465" s="206">
        <v>6854</v>
      </c>
      <c r="E465" s="206">
        <f>D465-C465</f>
        <v>14</v>
      </c>
      <c r="F465" s="207"/>
      <c r="G465" s="209"/>
      <c r="H465" s="209"/>
    </row>
    <row r="466" ht="15.75" spans="1:8">
      <c r="A466" s="213"/>
      <c r="B466" s="213"/>
      <c r="C466" s="213"/>
      <c r="D466" s="213"/>
      <c r="E466" s="213"/>
      <c r="F466" s="213"/>
      <c r="G466" s="189" t="s">
        <v>23</v>
      </c>
      <c r="H466" s="214">
        <f>H462+H464</f>
        <v>14123200</v>
      </c>
    </row>
    <row r="467" spans="1:8">
      <c r="A467" s="213" t="s">
        <v>24</v>
      </c>
      <c r="B467" s="215">
        <f>H476</f>
        <v>13648000</v>
      </c>
      <c r="C467" s="213"/>
      <c r="D467" s="213"/>
      <c r="E467" s="213"/>
      <c r="F467" s="213"/>
      <c r="G467" s="196" t="s">
        <v>25</v>
      </c>
      <c r="H467" s="216">
        <v>13000000</v>
      </c>
    </row>
    <row r="468" ht="15.75" spans="1:8">
      <c r="A468" s="213" t="s">
        <v>26</v>
      </c>
      <c r="B468" s="217">
        <v>200</v>
      </c>
      <c r="C468" s="202"/>
      <c r="D468" s="213"/>
      <c r="E468" s="213"/>
      <c r="F468" s="213"/>
      <c r="G468" s="196" t="s">
        <v>27</v>
      </c>
      <c r="H468" s="218">
        <v>475000</v>
      </c>
    </row>
    <row r="469" ht="15.75" spans="1:8">
      <c r="A469" s="219" t="s">
        <v>18</v>
      </c>
      <c r="B469" s="215">
        <f>SUM(B467:B468)</f>
        <v>13648200</v>
      </c>
      <c r="C469" s="213"/>
      <c r="D469" s="213"/>
      <c r="E469" s="213"/>
      <c r="F469" s="213"/>
      <c r="G469" s="200" t="s">
        <v>28</v>
      </c>
      <c r="H469" s="220">
        <f>H466-H467-H468</f>
        <v>648200</v>
      </c>
    </row>
    <row r="470" ht="15.75" spans="1:8">
      <c r="A470" s="202"/>
      <c r="C470" s="202"/>
      <c r="D470" s="202"/>
      <c r="E470" s="202"/>
      <c r="F470" s="202"/>
      <c r="G470" s="202"/>
      <c r="H470" s="202"/>
    </row>
    <row r="471" ht="15.75" spans="1:8">
      <c r="A471" s="202"/>
      <c r="B471" s="202"/>
      <c r="C471" s="202"/>
      <c r="D471" s="202"/>
      <c r="E471" s="202"/>
      <c r="F471" s="202"/>
      <c r="G471" s="202"/>
      <c r="H471" s="202"/>
    </row>
    <row r="472" ht="15.75" spans="1:8">
      <c r="A472" s="221" t="s">
        <v>23</v>
      </c>
      <c r="B472" s="222"/>
      <c r="C472" s="202"/>
      <c r="D472" s="202"/>
      <c r="E472" s="202"/>
      <c r="F472" s="202"/>
      <c r="G472" s="202"/>
      <c r="H472" s="202"/>
    </row>
    <row r="473" ht="15.75" spans="1:8">
      <c r="A473" s="205" t="s">
        <v>29</v>
      </c>
      <c r="B473" s="223">
        <f>F462</f>
        <v>1141</v>
      </c>
      <c r="C473" s="202"/>
      <c r="D473" s="202"/>
      <c r="E473" s="202"/>
      <c r="F473" s="224" t="s">
        <v>30</v>
      </c>
      <c r="G473" s="224"/>
      <c r="H473" s="225">
        <f>H466</f>
        <v>14123200</v>
      </c>
    </row>
    <row r="474" ht="15.75" spans="1:8">
      <c r="A474" s="205" t="s">
        <v>31</v>
      </c>
      <c r="B474" s="223">
        <f>F464</f>
        <v>14</v>
      </c>
      <c r="C474" s="202"/>
      <c r="D474" s="202"/>
      <c r="E474" s="202"/>
      <c r="F474" s="224" t="s">
        <v>27</v>
      </c>
      <c r="G474" s="224"/>
      <c r="H474" s="225">
        <f>H468</f>
        <v>475000</v>
      </c>
    </row>
    <row r="475" ht="15.75" spans="1:8">
      <c r="A475" s="189"/>
      <c r="B475" s="226"/>
      <c r="C475" s="202"/>
      <c r="D475" s="202"/>
      <c r="E475" s="202"/>
      <c r="F475" s="224" t="s">
        <v>26</v>
      </c>
      <c r="G475" s="224"/>
      <c r="H475" s="227">
        <f>B468</f>
        <v>200</v>
      </c>
    </row>
    <row r="476" ht="15.75" spans="1:8">
      <c r="A476" s="228"/>
      <c r="B476" s="226"/>
      <c r="C476" s="202"/>
      <c r="D476" s="202"/>
      <c r="E476" s="202"/>
      <c r="F476" s="224" t="s">
        <v>28</v>
      </c>
      <c r="G476" s="224"/>
      <c r="H476" s="225">
        <f>H473-H474-H475</f>
        <v>13648000</v>
      </c>
    </row>
    <row r="478" ht="15.75" spans="1:8">
      <c r="A478" s="229"/>
      <c r="B478" s="230"/>
      <c r="C478" s="230"/>
      <c r="D478" s="230"/>
      <c r="E478" s="229"/>
      <c r="F478" s="231"/>
      <c r="G478" s="230"/>
      <c r="H478" s="230"/>
    </row>
    <row r="479" spans="1:8">
      <c r="A479" s="232"/>
      <c r="B479" s="233"/>
      <c r="C479" s="234"/>
      <c r="D479" s="234"/>
      <c r="E479" s="232"/>
      <c r="F479" s="233"/>
      <c r="G479" s="234"/>
      <c r="H479" s="234"/>
    </row>
    <row r="480" spans="1:8">
      <c r="A480" s="232"/>
      <c r="B480" s="233"/>
      <c r="C480" s="234"/>
      <c r="D480" s="234"/>
      <c r="E480" s="232"/>
      <c r="F480" s="233"/>
      <c r="G480" s="234"/>
      <c r="H480" s="234"/>
    </row>
    <row r="481" spans="1:8">
      <c r="A481" s="232"/>
      <c r="B481" s="233"/>
      <c r="C481" s="234"/>
      <c r="D481" s="234"/>
      <c r="E481" s="232"/>
      <c r="F481" s="233"/>
      <c r="G481" s="234"/>
      <c r="H481" s="234"/>
    </row>
    <row r="482" spans="1:8">
      <c r="A482" s="232"/>
      <c r="B482" s="233"/>
      <c r="C482" s="234"/>
      <c r="D482" s="234"/>
      <c r="E482" s="232"/>
      <c r="F482" s="233"/>
      <c r="G482" s="234"/>
      <c r="H482" s="234"/>
    </row>
    <row r="483" spans="1:8">
      <c r="A483" s="232"/>
      <c r="B483" s="233"/>
      <c r="C483" s="234"/>
      <c r="D483" s="234"/>
      <c r="E483" s="232"/>
      <c r="F483" s="233"/>
      <c r="G483" s="234"/>
      <c r="H483" s="234"/>
    </row>
    <row r="484" spans="1:8">
      <c r="A484" s="232"/>
      <c r="B484" s="233"/>
      <c r="C484" s="234"/>
      <c r="D484" s="234"/>
      <c r="E484" s="232"/>
      <c r="F484" s="233"/>
      <c r="G484" s="234"/>
      <c r="H484" s="234"/>
    </row>
    <row r="485" spans="1:8">
      <c r="A485" s="232"/>
      <c r="B485" s="233"/>
      <c r="C485" s="235"/>
      <c r="D485" s="235"/>
      <c r="E485" s="236"/>
      <c r="F485" s="236"/>
      <c r="G485" s="237"/>
      <c r="H485" s="237"/>
    </row>
    <row r="486" spans="1:8">
      <c r="A486" s="109"/>
      <c r="B486" s="109"/>
      <c r="C486" s="109"/>
      <c r="D486" s="109"/>
      <c r="E486" s="109"/>
      <c r="F486" s="109"/>
      <c r="G486" s="109"/>
      <c r="H486" s="109"/>
    </row>
    <row r="496" ht="18" spans="1:8">
      <c r="A496" s="109"/>
      <c r="B496" s="109"/>
      <c r="C496" s="184" t="s">
        <v>0</v>
      </c>
      <c r="D496" s="184"/>
      <c r="E496" s="184"/>
      <c r="F496" s="184"/>
      <c r="G496" s="184"/>
      <c r="H496" s="184"/>
    </row>
    <row r="497" ht="18" spans="1:8">
      <c r="A497" s="185"/>
      <c r="B497" s="185"/>
      <c r="C497" s="186" t="s">
        <v>1</v>
      </c>
      <c r="D497" s="186"/>
      <c r="E497" s="186"/>
      <c r="F497" s="186"/>
      <c r="G497" s="186"/>
      <c r="H497" s="186"/>
    </row>
    <row r="498" ht="18" spans="1:8">
      <c r="A498" s="187"/>
      <c r="B498" s="187"/>
      <c r="C498" s="188" t="s">
        <v>2</v>
      </c>
      <c r="D498" s="188"/>
      <c r="E498" s="188"/>
      <c r="F498" s="188"/>
      <c r="G498" s="188"/>
      <c r="H498" s="188"/>
    </row>
    <row r="499" ht="15.75" spans="1:8">
      <c r="A499" s="187"/>
      <c r="B499" s="189"/>
      <c r="C499" s="190"/>
      <c r="D499" s="190"/>
      <c r="E499" s="190"/>
      <c r="F499" s="191"/>
      <c r="G499" s="192"/>
      <c r="H499" s="192"/>
    </row>
    <row r="500" ht="15.75" spans="1:8">
      <c r="A500" s="187"/>
      <c r="B500" s="189"/>
      <c r="C500" s="190"/>
      <c r="D500" s="190"/>
      <c r="E500" s="190"/>
      <c r="F500" s="193"/>
      <c r="G500" s="194"/>
      <c r="H500" s="195"/>
    </row>
    <row r="501" ht="15.75" spans="1:8">
      <c r="A501" s="196" t="s">
        <v>3</v>
      </c>
      <c r="B501" s="196" t="s">
        <v>45</v>
      </c>
      <c r="C501" s="196"/>
      <c r="D501" s="196"/>
      <c r="E501" s="196"/>
      <c r="F501" s="196" t="s">
        <v>5</v>
      </c>
      <c r="G501" s="197">
        <v>0.208333333333333</v>
      </c>
      <c r="H501" s="198"/>
    </row>
    <row r="502" spans="1:8">
      <c r="A502" s="196" t="s">
        <v>6</v>
      </c>
      <c r="B502" s="195" t="s">
        <v>10</v>
      </c>
      <c r="C502" s="196"/>
      <c r="D502" s="196"/>
      <c r="E502" s="196"/>
      <c r="F502" s="196" t="s">
        <v>8</v>
      </c>
      <c r="G502" s="199">
        <v>0.875</v>
      </c>
      <c r="H502" s="195"/>
    </row>
    <row r="503" spans="1:8">
      <c r="A503" s="196" t="s">
        <v>9</v>
      </c>
      <c r="B503" s="195"/>
      <c r="C503" s="196"/>
      <c r="D503" s="196"/>
      <c r="E503" s="196"/>
      <c r="F503" s="196"/>
      <c r="G503" s="196"/>
      <c r="H503" s="195"/>
    </row>
    <row r="504" ht="15.75" spans="1:8">
      <c r="A504" s="189"/>
      <c r="B504" s="195"/>
      <c r="C504" s="196"/>
      <c r="D504" s="196"/>
      <c r="E504" s="196"/>
      <c r="F504" s="196"/>
      <c r="G504" s="200"/>
      <c r="H504" s="201"/>
    </row>
    <row r="505" ht="15.75" spans="1:8">
      <c r="A505" s="202"/>
      <c r="B505" s="202"/>
      <c r="C505" s="202"/>
      <c r="D505" s="202"/>
      <c r="E505" s="202"/>
      <c r="F505" s="202"/>
      <c r="G505" s="202"/>
      <c r="H505" s="202"/>
    </row>
    <row r="506" ht="15.75" spans="1:8">
      <c r="A506" s="203" t="s">
        <v>11</v>
      </c>
      <c r="B506" s="203" t="s">
        <v>12</v>
      </c>
      <c r="C506" s="203" t="s">
        <v>13</v>
      </c>
      <c r="D506" s="203" t="s">
        <v>14</v>
      </c>
      <c r="E506" s="203" t="s">
        <v>15</v>
      </c>
      <c r="F506" s="203" t="s">
        <v>16</v>
      </c>
      <c r="G506" s="203" t="s">
        <v>17</v>
      </c>
      <c r="H506" s="203" t="s">
        <v>18</v>
      </c>
    </row>
    <row r="507" ht="15.75" spans="1:8">
      <c r="A507" s="204">
        <v>1</v>
      </c>
      <c r="B507" s="205" t="s">
        <v>19</v>
      </c>
      <c r="C507" s="206">
        <f>D462</f>
        <v>35864</v>
      </c>
      <c r="D507" s="206">
        <v>36332</v>
      </c>
      <c r="E507" s="206">
        <f>D507-C507</f>
        <v>468</v>
      </c>
      <c r="F507" s="207">
        <f>SUM(E507:E508)</f>
        <v>958</v>
      </c>
      <c r="G507" s="208">
        <v>12200</v>
      </c>
      <c r="H507" s="209">
        <f>F507*G507</f>
        <v>11687600</v>
      </c>
    </row>
    <row r="508" ht="15.75" spans="1:8">
      <c r="A508" s="210"/>
      <c r="B508" s="205" t="s">
        <v>20</v>
      </c>
      <c r="C508" s="206">
        <f>D463</f>
        <v>37482</v>
      </c>
      <c r="D508" s="206">
        <v>37972</v>
      </c>
      <c r="E508" s="206">
        <f>D508-C508</f>
        <v>490</v>
      </c>
      <c r="F508" s="207"/>
      <c r="G508" s="211"/>
      <c r="H508" s="209"/>
    </row>
    <row r="509" ht="15.75" spans="1:8">
      <c r="A509" s="210"/>
      <c r="B509" s="205" t="s">
        <v>21</v>
      </c>
      <c r="C509" s="206">
        <f>D464</f>
        <v>6745</v>
      </c>
      <c r="D509" s="206">
        <v>6775</v>
      </c>
      <c r="E509" s="206">
        <f>D509-C509</f>
        <v>30</v>
      </c>
      <c r="F509" s="207">
        <f>SUM(E509:E510)</f>
        <v>54</v>
      </c>
      <c r="G509" s="209">
        <v>14500</v>
      </c>
      <c r="H509" s="209">
        <f>G509*F509</f>
        <v>783000</v>
      </c>
    </row>
    <row r="510" ht="15.75" spans="1:8">
      <c r="A510" s="212"/>
      <c r="B510" s="205" t="s">
        <v>22</v>
      </c>
      <c r="C510" s="206">
        <f>D465</f>
        <v>6854</v>
      </c>
      <c r="D510" s="206">
        <v>6878</v>
      </c>
      <c r="E510" s="206">
        <f>D510-C510</f>
        <v>24</v>
      </c>
      <c r="F510" s="207"/>
      <c r="G510" s="209"/>
      <c r="H510" s="209"/>
    </row>
    <row r="511" ht="15.75" spans="1:8">
      <c r="A511" s="213"/>
      <c r="B511" s="213"/>
      <c r="C511" s="213"/>
      <c r="D511" s="213"/>
      <c r="E511" s="213"/>
      <c r="F511" s="213"/>
      <c r="G511" s="189" t="s">
        <v>23</v>
      </c>
      <c r="H511" s="214">
        <f>H507+H509</f>
        <v>12470600</v>
      </c>
    </row>
    <row r="512" spans="1:8">
      <c r="A512" s="213" t="s">
        <v>24</v>
      </c>
      <c r="B512" s="215">
        <f>H521</f>
        <v>11920600</v>
      </c>
      <c r="C512" s="213"/>
      <c r="D512" s="213"/>
      <c r="E512" s="213"/>
      <c r="F512" s="213"/>
      <c r="G512" s="196" t="s">
        <v>25</v>
      </c>
      <c r="H512" s="216">
        <v>10000000</v>
      </c>
    </row>
    <row r="513" ht="15.75" spans="1:8">
      <c r="A513" s="213" t="s">
        <v>26</v>
      </c>
      <c r="B513" s="217"/>
      <c r="C513" s="202"/>
      <c r="D513" s="213"/>
      <c r="E513" s="213"/>
      <c r="F513" s="213"/>
      <c r="G513" s="196" t="s">
        <v>27</v>
      </c>
      <c r="H513" s="218">
        <v>550000</v>
      </c>
    </row>
    <row r="514" ht="15.75" spans="1:8">
      <c r="A514" s="219" t="s">
        <v>18</v>
      </c>
      <c r="B514" s="215">
        <f>SUM(B512:B513)</f>
        <v>11920600</v>
      </c>
      <c r="C514" s="213"/>
      <c r="D514" s="213"/>
      <c r="E514" s="213"/>
      <c r="F514" s="213"/>
      <c r="G514" s="200" t="s">
        <v>28</v>
      </c>
      <c r="H514" s="220">
        <f>H511-H512-H513</f>
        <v>1920600</v>
      </c>
    </row>
    <row r="515" ht="15.75" spans="1:8">
      <c r="A515" s="202"/>
      <c r="C515" s="202"/>
      <c r="D515" s="202"/>
      <c r="E515" s="202"/>
      <c r="F515" s="202"/>
      <c r="G515" s="202"/>
      <c r="H515" s="202"/>
    </row>
    <row r="516" ht="15.75" spans="1:8">
      <c r="A516" s="202"/>
      <c r="B516" s="202"/>
      <c r="C516" s="202"/>
      <c r="D516" s="202"/>
      <c r="E516" s="202"/>
      <c r="F516" s="202"/>
      <c r="G516" s="202"/>
      <c r="H516" s="202"/>
    </row>
    <row r="517" ht="15.75" spans="1:8">
      <c r="A517" s="221" t="s">
        <v>23</v>
      </c>
      <c r="B517" s="222"/>
      <c r="C517" s="202"/>
      <c r="D517" s="202"/>
      <c r="E517" s="202"/>
      <c r="F517" s="202"/>
      <c r="G517" s="202"/>
      <c r="H517" s="202"/>
    </row>
    <row r="518" ht="15.75" spans="1:8">
      <c r="A518" s="205" t="s">
        <v>29</v>
      </c>
      <c r="B518" s="223">
        <f>F507</f>
        <v>958</v>
      </c>
      <c r="C518" s="202"/>
      <c r="D518" s="202"/>
      <c r="E518" s="202"/>
      <c r="F518" s="224" t="s">
        <v>30</v>
      </c>
      <c r="G518" s="224"/>
      <c r="H518" s="225">
        <f>H511</f>
        <v>12470600</v>
      </c>
    </row>
    <row r="519" ht="15.75" spans="1:8">
      <c r="A519" s="205" t="s">
        <v>31</v>
      </c>
      <c r="B519" s="223">
        <f>F509</f>
        <v>54</v>
      </c>
      <c r="C519" s="202"/>
      <c r="D519" s="202"/>
      <c r="E519" s="202"/>
      <c r="F519" s="224" t="s">
        <v>27</v>
      </c>
      <c r="G519" s="224"/>
      <c r="H519" s="225">
        <f>H513</f>
        <v>550000</v>
      </c>
    </row>
    <row r="520" ht="15.75" spans="1:8">
      <c r="A520" s="189"/>
      <c r="B520" s="226"/>
      <c r="C520" s="202"/>
      <c r="D520" s="202"/>
      <c r="E520" s="202"/>
      <c r="F520" s="224" t="s">
        <v>26</v>
      </c>
      <c r="G520" s="224"/>
      <c r="H520" s="227">
        <f>B513</f>
        <v>0</v>
      </c>
    </row>
    <row r="521" ht="15.75" spans="1:8">
      <c r="A521" s="228"/>
      <c r="B521" s="226"/>
      <c r="C521" s="202"/>
      <c r="D521" s="202"/>
      <c r="E521" s="202"/>
      <c r="F521" s="224" t="s">
        <v>28</v>
      </c>
      <c r="G521" s="224"/>
      <c r="H521" s="225">
        <f>H518-H519-H520</f>
        <v>11920600</v>
      </c>
    </row>
    <row r="523" ht="15.75" spans="1:8">
      <c r="A523" s="229"/>
      <c r="B523" s="230"/>
      <c r="C523" s="230"/>
      <c r="D523" s="230"/>
      <c r="E523" s="229"/>
      <c r="F523" s="231"/>
      <c r="G523" s="230"/>
      <c r="H523" s="230"/>
    </row>
    <row r="524" spans="1:8">
      <c r="A524" s="232"/>
      <c r="B524" s="233"/>
      <c r="C524" s="234"/>
      <c r="D524" s="234"/>
      <c r="E524" s="232"/>
      <c r="F524" s="233"/>
      <c r="G524" s="234"/>
      <c r="H524" s="234"/>
    </row>
    <row r="525" spans="1:8">
      <c r="A525" s="232"/>
      <c r="B525" s="233"/>
      <c r="C525" s="234"/>
      <c r="D525" s="234"/>
      <c r="E525" s="232"/>
      <c r="F525" s="233"/>
      <c r="G525" s="234"/>
      <c r="H525" s="234"/>
    </row>
    <row r="526" spans="1:8">
      <c r="A526" s="232"/>
      <c r="B526" s="233"/>
      <c r="C526" s="234"/>
      <c r="D526" s="234"/>
      <c r="E526" s="232"/>
      <c r="F526" s="233"/>
      <c r="G526" s="234"/>
      <c r="H526" s="234"/>
    </row>
    <row r="527" spans="1:8">
      <c r="A527" s="232"/>
      <c r="B527" s="233"/>
      <c r="C527" s="234"/>
      <c r="D527" s="234"/>
      <c r="E527" s="232"/>
      <c r="F527" s="233"/>
      <c r="G527" s="234"/>
      <c r="H527" s="234"/>
    </row>
    <row r="528" spans="1:8">
      <c r="A528" s="232"/>
      <c r="B528" s="233"/>
      <c r="C528" s="234"/>
      <c r="D528" s="234"/>
      <c r="E528" s="232"/>
      <c r="F528" s="233"/>
      <c r="G528" s="234"/>
      <c r="H528" s="234"/>
    </row>
    <row r="529" spans="1:8">
      <c r="A529" s="232"/>
      <c r="B529" s="233"/>
      <c r="C529" s="234"/>
      <c r="D529" s="234"/>
      <c r="E529" s="232"/>
      <c r="F529" s="233"/>
      <c r="G529" s="234"/>
      <c r="H529" s="234"/>
    </row>
    <row r="530" spans="1:8">
      <c r="A530" s="232"/>
      <c r="B530" s="233"/>
      <c r="C530" s="235"/>
      <c r="D530" s="235"/>
      <c r="E530" s="236"/>
      <c r="F530" s="236"/>
      <c r="G530" s="237"/>
      <c r="H530" s="237"/>
    </row>
    <row r="531" spans="1:8">
      <c r="A531" s="109"/>
      <c r="B531" s="109"/>
      <c r="C531" s="109"/>
      <c r="D531" s="109"/>
      <c r="E531" s="109"/>
      <c r="F531" s="109"/>
      <c r="G531" s="109"/>
      <c r="H531" s="109"/>
    </row>
    <row r="541" ht="18" spans="1:8">
      <c r="A541" s="109"/>
      <c r="B541" s="109"/>
      <c r="C541" s="184" t="s">
        <v>0</v>
      </c>
      <c r="D541" s="184"/>
      <c r="E541" s="184"/>
      <c r="F541" s="184"/>
      <c r="G541" s="184"/>
      <c r="H541" s="184"/>
    </row>
    <row r="542" ht="18" spans="1:8">
      <c r="A542" s="185"/>
      <c r="B542" s="185"/>
      <c r="C542" s="186" t="s">
        <v>1</v>
      </c>
      <c r="D542" s="186"/>
      <c r="E542" s="186"/>
      <c r="F542" s="186"/>
      <c r="G542" s="186"/>
      <c r="H542" s="186"/>
    </row>
    <row r="543" ht="18" spans="1:8">
      <c r="A543" s="187"/>
      <c r="B543" s="187"/>
      <c r="C543" s="188" t="s">
        <v>2</v>
      </c>
      <c r="D543" s="188"/>
      <c r="E543" s="188"/>
      <c r="F543" s="188"/>
      <c r="G543" s="188"/>
      <c r="H543" s="188"/>
    </row>
    <row r="544" ht="15.75" spans="1:8">
      <c r="A544" s="187"/>
      <c r="B544" s="189"/>
      <c r="C544" s="190"/>
      <c r="D544" s="190"/>
      <c r="E544" s="190"/>
      <c r="F544" s="191"/>
      <c r="G544" s="192"/>
      <c r="H544" s="192"/>
    </row>
    <row r="545" ht="15.75" spans="1:8">
      <c r="A545" s="187"/>
      <c r="B545" s="189"/>
      <c r="C545" s="190"/>
      <c r="D545" s="190"/>
      <c r="E545" s="190"/>
      <c r="F545" s="193"/>
      <c r="G545" s="194"/>
      <c r="H545" s="195"/>
    </row>
    <row r="546" ht="15.75" spans="1:8">
      <c r="A546" s="196" t="s">
        <v>3</v>
      </c>
      <c r="B546" s="196" t="s">
        <v>46</v>
      </c>
      <c r="C546" s="196"/>
      <c r="D546" s="196"/>
      <c r="E546" s="196"/>
      <c r="F546" s="196" t="s">
        <v>5</v>
      </c>
      <c r="G546" s="197">
        <v>0.208333333333333</v>
      </c>
      <c r="H546" s="198"/>
    </row>
    <row r="547" spans="1:8">
      <c r="A547" s="196" t="s">
        <v>6</v>
      </c>
      <c r="B547" s="195" t="s">
        <v>7</v>
      </c>
      <c r="C547" s="196"/>
      <c r="D547" s="196"/>
      <c r="E547" s="196"/>
      <c r="F547" s="196" t="s">
        <v>8</v>
      </c>
      <c r="G547" s="199">
        <v>0.875</v>
      </c>
      <c r="H547" s="195"/>
    </row>
    <row r="548" spans="1:8">
      <c r="A548" s="196" t="s">
        <v>9</v>
      </c>
      <c r="B548" s="195" t="s">
        <v>33</v>
      </c>
      <c r="C548" s="196"/>
      <c r="D548" s="196"/>
      <c r="E548" s="196"/>
      <c r="F548" s="196"/>
      <c r="G548" s="196"/>
      <c r="H548" s="195"/>
    </row>
    <row r="549" ht="15.75" spans="1:8">
      <c r="A549" s="189"/>
      <c r="B549" s="195"/>
      <c r="C549" s="196"/>
      <c r="D549" s="196"/>
      <c r="E549" s="196"/>
      <c r="F549" s="196"/>
      <c r="G549" s="200"/>
      <c r="H549" s="201"/>
    </row>
    <row r="550" ht="15.75" spans="1:8">
      <c r="A550" s="202"/>
      <c r="B550" s="202"/>
      <c r="C550" s="202"/>
      <c r="D550" s="202"/>
      <c r="E550" s="202"/>
      <c r="F550" s="202"/>
      <c r="G550" s="202"/>
      <c r="H550" s="202"/>
    </row>
    <row r="551" ht="15.75" spans="1:8">
      <c r="A551" s="203" t="s">
        <v>11</v>
      </c>
      <c r="B551" s="203" t="s">
        <v>12</v>
      </c>
      <c r="C551" s="203" t="s">
        <v>13</v>
      </c>
      <c r="D551" s="203" t="s">
        <v>14</v>
      </c>
      <c r="E551" s="203" t="s">
        <v>15</v>
      </c>
      <c r="F551" s="203" t="s">
        <v>16</v>
      </c>
      <c r="G551" s="203" t="s">
        <v>17</v>
      </c>
      <c r="H551" s="203" t="s">
        <v>18</v>
      </c>
    </row>
    <row r="552" ht="15.75" spans="1:8">
      <c r="A552" s="204">
        <v>1</v>
      </c>
      <c r="B552" s="205" t="s">
        <v>19</v>
      </c>
      <c r="C552" s="206">
        <f>D507</f>
        <v>36332</v>
      </c>
      <c r="D552" s="206">
        <v>36834</v>
      </c>
      <c r="E552" s="206">
        <f>D552-C552</f>
        <v>502</v>
      </c>
      <c r="F552" s="207">
        <f>SUM(E552:E553)</f>
        <v>1033</v>
      </c>
      <c r="G552" s="208">
        <v>12200</v>
      </c>
      <c r="H552" s="209">
        <f>F552*G552</f>
        <v>12602600</v>
      </c>
    </row>
    <row r="553" ht="15.75" spans="1:8">
      <c r="A553" s="210"/>
      <c r="B553" s="205" t="s">
        <v>20</v>
      </c>
      <c r="C553" s="206">
        <f>D508</f>
        <v>37972</v>
      </c>
      <c r="D553" s="206">
        <v>38503</v>
      </c>
      <c r="E553" s="206">
        <f>D553-C553</f>
        <v>531</v>
      </c>
      <c r="F553" s="207"/>
      <c r="G553" s="211"/>
      <c r="H553" s="209"/>
    </row>
    <row r="554" ht="15.75" spans="1:8">
      <c r="A554" s="210"/>
      <c r="B554" s="205" t="s">
        <v>21</v>
      </c>
      <c r="C554" s="206">
        <f>D509</f>
        <v>6775</v>
      </c>
      <c r="D554" s="206">
        <v>6852</v>
      </c>
      <c r="E554" s="206">
        <f>D554-C554</f>
        <v>77</v>
      </c>
      <c r="F554" s="207">
        <f>SUM(E554:E555)</f>
        <v>135</v>
      </c>
      <c r="G554" s="209">
        <v>14500</v>
      </c>
      <c r="H554" s="209">
        <f>G554*F554</f>
        <v>1957500</v>
      </c>
    </row>
    <row r="555" ht="15.75" spans="1:8">
      <c r="A555" s="212"/>
      <c r="B555" s="205" t="s">
        <v>22</v>
      </c>
      <c r="C555" s="206">
        <f>D510</f>
        <v>6878</v>
      </c>
      <c r="D555" s="206">
        <v>6936</v>
      </c>
      <c r="E555" s="206">
        <f>D555-C555</f>
        <v>58</v>
      </c>
      <c r="F555" s="207"/>
      <c r="G555" s="209"/>
      <c r="H555" s="209"/>
    </row>
    <row r="556" ht="15.75" spans="1:8">
      <c r="A556" s="213"/>
      <c r="B556" s="213"/>
      <c r="C556" s="213"/>
      <c r="D556" s="213"/>
      <c r="E556" s="213"/>
      <c r="F556" s="213"/>
      <c r="G556" s="189" t="s">
        <v>23</v>
      </c>
      <c r="H556" s="214">
        <f>H552+H554</f>
        <v>14560100</v>
      </c>
    </row>
    <row r="557" spans="1:8">
      <c r="A557" s="213" t="s">
        <v>24</v>
      </c>
      <c r="B557" s="215">
        <f>H566</f>
        <v>14488100</v>
      </c>
      <c r="C557" s="213"/>
      <c r="D557" s="213"/>
      <c r="E557" s="213"/>
      <c r="F557" s="213"/>
      <c r="G557" s="196" t="s">
        <v>25</v>
      </c>
      <c r="H557" s="216">
        <v>14000000</v>
      </c>
    </row>
    <row r="558" ht="15.75" spans="1:8">
      <c r="A558" s="213" t="s">
        <v>26</v>
      </c>
      <c r="B558" s="217"/>
      <c r="C558" s="202"/>
      <c r="D558" s="213"/>
      <c r="E558" s="213"/>
      <c r="F558" s="213"/>
      <c r="G558" s="196" t="s">
        <v>27</v>
      </c>
      <c r="H558" s="218">
        <v>72000</v>
      </c>
    </row>
    <row r="559" ht="15.75" spans="1:8">
      <c r="A559" s="219" t="s">
        <v>18</v>
      </c>
      <c r="B559" s="215">
        <f>SUM(B557:B558)</f>
        <v>14488100</v>
      </c>
      <c r="C559" s="213"/>
      <c r="D559" s="213"/>
      <c r="E559" s="213"/>
      <c r="F559" s="213"/>
      <c r="G559" s="200" t="s">
        <v>28</v>
      </c>
      <c r="H559" s="220">
        <f>H556-H557-H558</f>
        <v>488100</v>
      </c>
    </row>
    <row r="560" ht="15.75" spans="1:8">
      <c r="A560" s="202"/>
      <c r="C560" s="202"/>
      <c r="D560" s="202"/>
      <c r="E560" s="202"/>
      <c r="F560" s="202"/>
      <c r="G560" s="202"/>
      <c r="H560" s="202"/>
    </row>
    <row r="561" ht="15.75" spans="1:8">
      <c r="A561" s="202"/>
      <c r="B561" s="202"/>
      <c r="C561" s="202"/>
      <c r="D561" s="202"/>
      <c r="E561" s="202"/>
      <c r="F561" s="202"/>
      <c r="G561" s="202"/>
      <c r="H561" s="202"/>
    </row>
    <row r="562" ht="15.75" spans="1:8">
      <c r="A562" s="221" t="s">
        <v>23</v>
      </c>
      <c r="B562" s="222"/>
      <c r="C562" s="202"/>
      <c r="D562" s="202"/>
      <c r="E562" s="202"/>
      <c r="F562" s="202"/>
      <c r="G562" s="202"/>
      <c r="H562" s="202"/>
    </row>
    <row r="563" ht="15.75" spans="1:8">
      <c r="A563" s="205" t="s">
        <v>29</v>
      </c>
      <c r="B563" s="223">
        <f>F552</f>
        <v>1033</v>
      </c>
      <c r="C563" s="202"/>
      <c r="D563" s="202"/>
      <c r="E563" s="202"/>
      <c r="F563" s="224" t="s">
        <v>30</v>
      </c>
      <c r="G563" s="224"/>
      <c r="H563" s="225">
        <f>H556</f>
        <v>14560100</v>
      </c>
    </row>
    <row r="564" ht="15.75" spans="1:8">
      <c r="A564" s="205" t="s">
        <v>31</v>
      </c>
      <c r="B564" s="223">
        <f>F554</f>
        <v>135</v>
      </c>
      <c r="C564" s="202"/>
      <c r="D564" s="202"/>
      <c r="E564" s="202"/>
      <c r="F564" s="224" t="s">
        <v>27</v>
      </c>
      <c r="G564" s="224"/>
      <c r="H564" s="225">
        <f>H558</f>
        <v>72000</v>
      </c>
    </row>
    <row r="565" ht="15.75" spans="1:8">
      <c r="A565" s="189"/>
      <c r="B565" s="226"/>
      <c r="C565" s="202"/>
      <c r="D565" s="202"/>
      <c r="E565" s="202"/>
      <c r="F565" s="224" t="s">
        <v>26</v>
      </c>
      <c r="G565" s="224"/>
      <c r="H565" s="227">
        <f>B558</f>
        <v>0</v>
      </c>
    </row>
    <row r="566" ht="15.75" spans="1:8">
      <c r="A566" s="228"/>
      <c r="B566" s="226"/>
      <c r="C566" s="202"/>
      <c r="D566" s="202"/>
      <c r="E566" s="202"/>
      <c r="F566" s="224" t="s">
        <v>28</v>
      </c>
      <c r="G566" s="224"/>
      <c r="H566" s="225">
        <f>H563-H564-H565</f>
        <v>14488100</v>
      </c>
    </row>
    <row r="568" ht="15.75" spans="1:8">
      <c r="A568" s="229"/>
      <c r="B568" s="230"/>
      <c r="C568" s="230"/>
      <c r="D568" s="230"/>
      <c r="E568" s="229"/>
      <c r="F568" s="231"/>
      <c r="G568" s="230"/>
      <c r="H568" s="230"/>
    </row>
    <row r="569" spans="1:8">
      <c r="A569" s="232"/>
      <c r="B569" s="233"/>
      <c r="C569" s="234"/>
      <c r="D569" s="234"/>
      <c r="E569" s="232"/>
      <c r="F569" s="233"/>
      <c r="G569" s="234"/>
      <c r="H569" s="234"/>
    </row>
    <row r="570" spans="1:8">
      <c r="A570" s="232"/>
      <c r="B570" s="233"/>
      <c r="C570" s="234"/>
      <c r="D570" s="234"/>
      <c r="E570" s="232"/>
      <c r="F570" s="233"/>
      <c r="G570" s="234"/>
      <c r="H570" s="234"/>
    </row>
    <row r="571" spans="1:8">
      <c r="A571" s="232"/>
      <c r="B571" s="233"/>
      <c r="C571" s="234"/>
      <c r="D571" s="234"/>
      <c r="E571" s="232"/>
      <c r="F571" s="233"/>
      <c r="G571" s="234"/>
      <c r="H571" s="234"/>
    </row>
    <row r="572" spans="1:8">
      <c r="A572" s="232"/>
      <c r="B572" s="233"/>
      <c r="C572" s="234"/>
      <c r="D572" s="234"/>
      <c r="E572" s="232"/>
      <c r="F572" s="233"/>
      <c r="G572" s="234"/>
      <c r="H572" s="234"/>
    </row>
    <row r="573" spans="1:8">
      <c r="A573" s="232"/>
      <c r="B573" s="233"/>
      <c r="C573" s="234"/>
      <c r="D573" s="234"/>
      <c r="E573" s="232"/>
      <c r="F573" s="233"/>
      <c r="G573" s="234"/>
      <c r="H573" s="234"/>
    </row>
    <row r="574" spans="1:8">
      <c r="A574" s="232"/>
      <c r="B574" s="233"/>
      <c r="C574" s="234"/>
      <c r="D574" s="234"/>
      <c r="E574" s="232"/>
      <c r="F574" s="233"/>
      <c r="G574" s="234"/>
      <c r="H574" s="234"/>
    </row>
    <row r="575" spans="1:8">
      <c r="A575" s="232"/>
      <c r="B575" s="233"/>
      <c r="C575" s="235"/>
      <c r="D575" s="235"/>
      <c r="E575" s="236"/>
      <c r="F575" s="236"/>
      <c r="G575" s="237"/>
      <c r="H575" s="237"/>
    </row>
    <row r="576" spans="1:8">
      <c r="A576" s="109"/>
      <c r="B576" s="109"/>
      <c r="C576" s="109"/>
      <c r="D576" s="109"/>
      <c r="E576" s="109"/>
      <c r="F576" s="109"/>
      <c r="G576" s="109"/>
      <c r="H576" s="109"/>
    </row>
    <row r="586" ht="18" spans="1:8">
      <c r="A586" s="109"/>
      <c r="B586" s="109"/>
      <c r="C586" s="184" t="s">
        <v>0</v>
      </c>
      <c r="D586" s="184"/>
      <c r="E586" s="184"/>
      <c r="F586" s="184"/>
      <c r="G586" s="184"/>
      <c r="H586" s="184"/>
    </row>
    <row r="587" ht="18" spans="1:8">
      <c r="A587" s="185"/>
      <c r="B587" s="185"/>
      <c r="C587" s="186" t="s">
        <v>1</v>
      </c>
      <c r="D587" s="186"/>
      <c r="E587" s="186"/>
      <c r="F587" s="186"/>
      <c r="G587" s="186"/>
      <c r="H587" s="186"/>
    </row>
    <row r="588" ht="18" spans="1:8">
      <c r="A588" s="187"/>
      <c r="B588" s="187"/>
      <c r="C588" s="188" t="s">
        <v>2</v>
      </c>
      <c r="D588" s="188"/>
      <c r="E588" s="188"/>
      <c r="F588" s="188"/>
      <c r="G588" s="188"/>
      <c r="H588" s="188"/>
    </row>
    <row r="589" ht="15.75" spans="1:8">
      <c r="A589" s="187"/>
      <c r="B589" s="189"/>
      <c r="C589" s="190"/>
      <c r="D589" s="190"/>
      <c r="E589" s="190"/>
      <c r="F589" s="191"/>
      <c r="G589" s="192"/>
      <c r="H589" s="192"/>
    </row>
    <row r="590" ht="15.75" spans="1:8">
      <c r="A590" s="187"/>
      <c r="B590" s="189"/>
      <c r="C590" s="190"/>
      <c r="D590" s="190"/>
      <c r="E590" s="190"/>
      <c r="F590" s="193"/>
      <c r="G590" s="194"/>
      <c r="H590" s="195"/>
    </row>
    <row r="591" ht="15.75" spans="1:8">
      <c r="A591" s="196" t="s">
        <v>3</v>
      </c>
      <c r="B591" s="196" t="s">
        <v>47</v>
      </c>
      <c r="C591" s="196"/>
      <c r="D591" s="196"/>
      <c r="E591" s="196"/>
      <c r="F591" s="196" t="s">
        <v>5</v>
      </c>
      <c r="G591" s="197">
        <v>0.208333333333333</v>
      </c>
      <c r="H591" s="198"/>
    </row>
    <row r="592" spans="1:8">
      <c r="A592" s="196" t="s">
        <v>6</v>
      </c>
      <c r="B592" s="195" t="s">
        <v>10</v>
      </c>
      <c r="C592" s="196"/>
      <c r="D592" s="196"/>
      <c r="E592" s="196"/>
      <c r="F592" s="196" t="s">
        <v>8</v>
      </c>
      <c r="G592" s="199">
        <v>0.875</v>
      </c>
      <c r="H592" s="195"/>
    </row>
    <row r="593" spans="1:8">
      <c r="A593" s="196" t="s">
        <v>9</v>
      </c>
      <c r="B593" s="195" t="s">
        <v>33</v>
      </c>
      <c r="C593" s="196"/>
      <c r="D593" s="196"/>
      <c r="E593" s="196"/>
      <c r="F593" s="196"/>
      <c r="G593" s="196"/>
      <c r="H593" s="195"/>
    </row>
    <row r="594" ht="15.75" spans="1:8">
      <c r="A594" s="189"/>
      <c r="B594" s="195"/>
      <c r="C594" s="196"/>
      <c r="D594" s="196"/>
      <c r="E594" s="196"/>
      <c r="F594" s="196"/>
      <c r="G594" s="200"/>
      <c r="H594" s="201"/>
    </row>
    <row r="595" ht="15.75" spans="1:8">
      <c r="A595" s="202"/>
      <c r="B595" s="202"/>
      <c r="C595" s="202"/>
      <c r="D595" s="202"/>
      <c r="E595" s="202"/>
      <c r="F595" s="202"/>
      <c r="G595" s="202"/>
      <c r="H595" s="202"/>
    </row>
    <row r="596" ht="15.75" spans="1:8">
      <c r="A596" s="203" t="s">
        <v>11</v>
      </c>
      <c r="B596" s="203" t="s">
        <v>12</v>
      </c>
      <c r="C596" s="203" t="s">
        <v>13</v>
      </c>
      <c r="D596" s="203" t="s">
        <v>14</v>
      </c>
      <c r="E596" s="203" t="s">
        <v>15</v>
      </c>
      <c r="F596" s="203" t="s">
        <v>16</v>
      </c>
      <c r="G596" s="203" t="s">
        <v>17</v>
      </c>
      <c r="H596" s="203" t="s">
        <v>18</v>
      </c>
    </row>
    <row r="597" ht="15.75" spans="1:8">
      <c r="A597" s="204">
        <v>1</v>
      </c>
      <c r="B597" s="205" t="s">
        <v>19</v>
      </c>
      <c r="C597" s="206">
        <f>D552</f>
        <v>36834</v>
      </c>
      <c r="D597" s="206">
        <v>37454</v>
      </c>
      <c r="E597" s="206">
        <f>D597-C597</f>
        <v>620</v>
      </c>
      <c r="F597" s="207">
        <f>SUM(E597:E598)</f>
        <v>1179</v>
      </c>
      <c r="G597" s="208">
        <v>12200</v>
      </c>
      <c r="H597" s="209">
        <f>F597*G597</f>
        <v>14383800</v>
      </c>
    </row>
    <row r="598" ht="15.75" spans="1:8">
      <c r="A598" s="210"/>
      <c r="B598" s="205" t="s">
        <v>20</v>
      </c>
      <c r="C598" s="206">
        <f>D553</f>
        <v>38503</v>
      </c>
      <c r="D598" s="206">
        <v>39062</v>
      </c>
      <c r="E598" s="206">
        <f>D598-C598</f>
        <v>559</v>
      </c>
      <c r="F598" s="207"/>
      <c r="G598" s="211"/>
      <c r="H598" s="209"/>
    </row>
    <row r="599" ht="15.75" spans="1:8">
      <c r="A599" s="210"/>
      <c r="B599" s="205" t="s">
        <v>21</v>
      </c>
      <c r="C599" s="206">
        <f>D554</f>
        <v>6852</v>
      </c>
      <c r="D599" s="206">
        <v>6860</v>
      </c>
      <c r="E599" s="206">
        <f>D599-C599</f>
        <v>8</v>
      </c>
      <c r="F599" s="207">
        <f>SUM(E599:E600)</f>
        <v>18</v>
      </c>
      <c r="G599" s="209">
        <v>14500</v>
      </c>
      <c r="H599" s="209">
        <f>G599*F599</f>
        <v>261000</v>
      </c>
    </row>
    <row r="600" ht="15.75" spans="1:8">
      <c r="A600" s="212"/>
      <c r="B600" s="205" t="s">
        <v>22</v>
      </c>
      <c r="C600" s="206">
        <f>D555</f>
        <v>6936</v>
      </c>
      <c r="D600" s="206">
        <v>6946</v>
      </c>
      <c r="E600" s="206">
        <f>D600-C600</f>
        <v>10</v>
      </c>
      <c r="F600" s="207"/>
      <c r="G600" s="209"/>
      <c r="H600" s="209"/>
    </row>
    <row r="601" ht="15.75" spans="1:8">
      <c r="A601" s="213"/>
      <c r="B601" s="213"/>
      <c r="C601" s="213"/>
      <c r="D601" s="213"/>
      <c r="E601" s="213"/>
      <c r="F601" s="213"/>
      <c r="G601" s="189" t="s">
        <v>23</v>
      </c>
      <c r="H601" s="214">
        <f>H597+H599</f>
        <v>14644800</v>
      </c>
    </row>
    <row r="602" spans="1:8">
      <c r="A602" s="213" t="s">
        <v>24</v>
      </c>
      <c r="B602" s="215">
        <f>H611</f>
        <v>13822800</v>
      </c>
      <c r="C602" s="213"/>
      <c r="D602" s="213"/>
      <c r="E602" s="213"/>
      <c r="F602" s="213"/>
      <c r="G602" s="196" t="s">
        <v>25</v>
      </c>
      <c r="H602" s="216">
        <v>13000000</v>
      </c>
    </row>
    <row r="603" ht="15.75" spans="1:8">
      <c r="A603" s="213" t="s">
        <v>26</v>
      </c>
      <c r="B603" s="217"/>
      <c r="C603" s="202"/>
      <c r="D603" s="213"/>
      <c r="E603" s="213"/>
      <c r="F603" s="213"/>
      <c r="G603" s="196" t="s">
        <v>27</v>
      </c>
      <c r="H603" s="218">
        <v>822000</v>
      </c>
    </row>
    <row r="604" ht="15.75" spans="1:8">
      <c r="A604" s="219" t="s">
        <v>18</v>
      </c>
      <c r="B604" s="215">
        <f>SUM(B602:B603)</f>
        <v>13822800</v>
      </c>
      <c r="C604" s="213"/>
      <c r="D604" s="213"/>
      <c r="E604" s="213"/>
      <c r="F604" s="213"/>
      <c r="G604" s="200" t="s">
        <v>28</v>
      </c>
      <c r="H604" s="220">
        <f>H601-H602-H603</f>
        <v>822800</v>
      </c>
    </row>
    <row r="605" ht="15.75" spans="1:8">
      <c r="A605" s="202"/>
      <c r="C605" s="202"/>
      <c r="D605" s="202"/>
      <c r="E605" s="202"/>
      <c r="F605" s="202"/>
      <c r="G605" s="202"/>
      <c r="H605" s="202"/>
    </row>
    <row r="606" ht="15.75" spans="1:8">
      <c r="A606" s="202"/>
      <c r="B606" s="202"/>
      <c r="C606" s="202"/>
      <c r="D606" s="202"/>
      <c r="E606" s="202"/>
      <c r="F606" s="202"/>
      <c r="G606" s="202"/>
      <c r="H606" s="202"/>
    </row>
    <row r="607" ht="15.75" spans="1:8">
      <c r="A607" s="221" t="s">
        <v>23</v>
      </c>
      <c r="B607" s="222"/>
      <c r="C607" s="202"/>
      <c r="D607" s="202"/>
      <c r="E607" s="202"/>
      <c r="F607" s="202"/>
      <c r="G607" s="202"/>
      <c r="H607" s="202"/>
    </row>
    <row r="608" ht="15.75" spans="1:8">
      <c r="A608" s="205" t="s">
        <v>29</v>
      </c>
      <c r="B608" s="223">
        <f>F597</f>
        <v>1179</v>
      </c>
      <c r="C608" s="202"/>
      <c r="D608" s="202"/>
      <c r="E608" s="202"/>
      <c r="F608" s="224" t="s">
        <v>30</v>
      </c>
      <c r="G608" s="224"/>
      <c r="H608" s="225">
        <f>H601</f>
        <v>14644800</v>
      </c>
    </row>
    <row r="609" ht="15.75" spans="1:8">
      <c r="A609" s="205" t="s">
        <v>31</v>
      </c>
      <c r="B609" s="223">
        <f>F599</f>
        <v>18</v>
      </c>
      <c r="C609" s="202"/>
      <c r="D609" s="202"/>
      <c r="E609" s="202"/>
      <c r="F609" s="224" t="s">
        <v>27</v>
      </c>
      <c r="G609" s="224"/>
      <c r="H609" s="225">
        <f>H603</f>
        <v>822000</v>
      </c>
    </row>
    <row r="610" ht="15.75" spans="1:8">
      <c r="A610" s="189"/>
      <c r="B610" s="226"/>
      <c r="C610" s="202"/>
      <c r="D610" s="202"/>
      <c r="E610" s="202"/>
      <c r="F610" s="224" t="s">
        <v>26</v>
      </c>
      <c r="G610" s="224"/>
      <c r="H610" s="227">
        <f>B603</f>
        <v>0</v>
      </c>
    </row>
    <row r="611" ht="15.75" spans="1:8">
      <c r="A611" s="228"/>
      <c r="B611" s="226"/>
      <c r="C611" s="202"/>
      <c r="D611" s="202"/>
      <c r="E611" s="202"/>
      <c r="F611" s="224" t="s">
        <v>28</v>
      </c>
      <c r="G611" s="224"/>
      <c r="H611" s="225">
        <f>H608-H609-H610</f>
        <v>13822800</v>
      </c>
    </row>
    <row r="613" ht="15.75" spans="1:8">
      <c r="A613" s="229"/>
      <c r="B613" s="230"/>
      <c r="C613" s="230"/>
      <c r="D613" s="230"/>
      <c r="E613" s="229"/>
      <c r="F613" s="231"/>
      <c r="G613" s="230"/>
      <c r="H613" s="230"/>
    </row>
    <row r="614" spans="1:8">
      <c r="A614" s="232"/>
      <c r="B614" s="233"/>
      <c r="C614" s="234"/>
      <c r="D614" s="234"/>
      <c r="E614" s="232"/>
      <c r="F614" s="233"/>
      <c r="G614" s="234"/>
      <c r="H614" s="234"/>
    </row>
    <row r="615" spans="1:8">
      <c r="A615" s="232"/>
      <c r="B615" s="233"/>
      <c r="C615" s="234"/>
      <c r="D615" s="234"/>
      <c r="E615" s="232"/>
      <c r="F615" s="233"/>
      <c r="G615" s="234"/>
      <c r="H615" s="234"/>
    </row>
    <row r="616" spans="1:8">
      <c r="A616" s="232"/>
      <c r="B616" s="233"/>
      <c r="C616" s="234"/>
      <c r="D616" s="234"/>
      <c r="E616" s="232"/>
      <c r="F616" s="233"/>
      <c r="G616" s="234"/>
      <c r="H616" s="234"/>
    </row>
    <row r="617" spans="1:8">
      <c r="A617" s="232"/>
      <c r="B617" s="233"/>
      <c r="C617" s="234"/>
      <c r="D617" s="234"/>
      <c r="E617" s="232"/>
      <c r="F617" s="233"/>
      <c r="G617" s="234"/>
      <c r="H617" s="234"/>
    </row>
    <row r="618" spans="1:8">
      <c r="A618" s="232"/>
      <c r="B618" s="233"/>
      <c r="C618" s="234"/>
      <c r="D618" s="234"/>
      <c r="E618" s="232"/>
      <c r="F618" s="233"/>
      <c r="G618" s="234"/>
      <c r="H618" s="234"/>
    </row>
    <row r="619" spans="1:8">
      <c r="A619" s="232"/>
      <c r="B619" s="233"/>
      <c r="C619" s="234"/>
      <c r="D619" s="234"/>
      <c r="E619" s="232"/>
      <c r="F619" s="233"/>
      <c r="G619" s="234"/>
      <c r="H619" s="234"/>
    </row>
    <row r="620" spans="1:8">
      <c r="A620" s="232"/>
      <c r="B620" s="233"/>
      <c r="C620" s="235"/>
      <c r="D620" s="235"/>
      <c r="E620" s="236"/>
      <c r="F620" s="236"/>
      <c r="G620" s="237"/>
      <c r="H620" s="237"/>
    </row>
    <row r="621" spans="1:8">
      <c r="A621" s="109"/>
      <c r="B621" s="109"/>
      <c r="C621" s="109"/>
      <c r="D621" s="109"/>
      <c r="E621" s="109"/>
      <c r="F621" s="109"/>
      <c r="G621" s="109"/>
      <c r="H621" s="109"/>
    </row>
    <row r="631" ht="18" spans="1:8">
      <c r="A631" s="109"/>
      <c r="B631" s="109"/>
      <c r="C631" s="184" t="s">
        <v>0</v>
      </c>
      <c r="D631" s="184"/>
      <c r="E631" s="184"/>
      <c r="F631" s="184"/>
      <c r="G631" s="184"/>
      <c r="H631" s="184"/>
    </row>
    <row r="632" ht="18" spans="1:8">
      <c r="A632" s="185"/>
      <c r="B632" s="185"/>
      <c r="C632" s="186" t="s">
        <v>1</v>
      </c>
      <c r="D632" s="186"/>
      <c r="E632" s="186"/>
      <c r="F632" s="186"/>
      <c r="G632" s="186"/>
      <c r="H632" s="186"/>
    </row>
    <row r="633" ht="18" spans="1:8">
      <c r="A633" s="187"/>
      <c r="B633" s="187"/>
      <c r="C633" s="188" t="s">
        <v>2</v>
      </c>
      <c r="D633" s="188"/>
      <c r="E633" s="188"/>
      <c r="F633" s="188"/>
      <c r="G633" s="188"/>
      <c r="H633" s="188"/>
    </row>
    <row r="634" ht="15.75" spans="1:8">
      <c r="A634" s="187"/>
      <c r="B634" s="189"/>
      <c r="C634" s="190"/>
      <c r="D634" s="190"/>
      <c r="E634" s="190"/>
      <c r="F634" s="191"/>
      <c r="G634" s="192"/>
      <c r="H634" s="192"/>
    </row>
    <row r="635" ht="15.75" spans="1:8">
      <c r="A635" s="187"/>
      <c r="B635" s="189"/>
      <c r="C635" s="190"/>
      <c r="D635" s="190"/>
      <c r="E635" s="190"/>
      <c r="F635" s="193"/>
      <c r="G635" s="194"/>
      <c r="H635" s="195"/>
    </row>
    <row r="636" ht="15.75" spans="1:8">
      <c r="A636" s="196" t="s">
        <v>3</v>
      </c>
      <c r="B636" s="196" t="s">
        <v>48</v>
      </c>
      <c r="C636" s="196"/>
      <c r="D636" s="196"/>
      <c r="E636" s="196"/>
      <c r="F636" s="196" t="s">
        <v>5</v>
      </c>
      <c r="G636" s="197">
        <v>0.208333333333333</v>
      </c>
      <c r="H636" s="198"/>
    </row>
    <row r="637" spans="1:8">
      <c r="A637" s="196" t="s">
        <v>6</v>
      </c>
      <c r="B637" s="195" t="s">
        <v>7</v>
      </c>
      <c r="C637" s="196"/>
      <c r="D637" s="196"/>
      <c r="E637" s="196"/>
      <c r="F637" s="196" t="s">
        <v>8</v>
      </c>
      <c r="G637" s="199">
        <v>0.875</v>
      </c>
      <c r="H637" s="195"/>
    </row>
    <row r="638" spans="1:8">
      <c r="A638" s="196" t="s">
        <v>9</v>
      </c>
      <c r="B638" s="195" t="s">
        <v>33</v>
      </c>
      <c r="C638" s="196"/>
      <c r="D638" s="196"/>
      <c r="E638" s="196"/>
      <c r="F638" s="196"/>
      <c r="G638" s="196"/>
      <c r="H638" s="195"/>
    </row>
    <row r="639" ht="15.75" spans="1:8">
      <c r="A639" s="189"/>
      <c r="B639" s="195"/>
      <c r="C639" s="196"/>
      <c r="D639" s="196"/>
      <c r="E639" s="196"/>
      <c r="F639" s="196"/>
      <c r="G639" s="200"/>
      <c r="H639" s="201"/>
    </row>
    <row r="640" ht="15.75" spans="1:8">
      <c r="A640" s="202"/>
      <c r="B640" s="202"/>
      <c r="C640" s="202"/>
      <c r="D640" s="202"/>
      <c r="E640" s="202"/>
      <c r="F640" s="202"/>
      <c r="G640" s="202"/>
      <c r="H640" s="202"/>
    </row>
    <row r="641" ht="15.75" spans="1:8">
      <c r="A641" s="203" t="s">
        <v>11</v>
      </c>
      <c r="B641" s="203" t="s">
        <v>12</v>
      </c>
      <c r="C641" s="203" t="s">
        <v>13</v>
      </c>
      <c r="D641" s="203" t="s">
        <v>14</v>
      </c>
      <c r="E641" s="203" t="s">
        <v>15</v>
      </c>
      <c r="F641" s="203" t="s">
        <v>16</v>
      </c>
      <c r="G641" s="203" t="s">
        <v>17</v>
      </c>
      <c r="H641" s="203" t="s">
        <v>18</v>
      </c>
    </row>
    <row r="642" ht="15.75" spans="1:8">
      <c r="A642" s="204">
        <v>1</v>
      </c>
      <c r="B642" s="205" t="s">
        <v>19</v>
      </c>
      <c r="C642" s="206">
        <f>D597</f>
        <v>37454</v>
      </c>
      <c r="D642" s="206">
        <v>37904</v>
      </c>
      <c r="E642" s="206">
        <f>D642-C642</f>
        <v>450</v>
      </c>
      <c r="F642" s="207">
        <f>SUM(E642:E643)</f>
        <v>942</v>
      </c>
      <c r="G642" s="208">
        <v>12200</v>
      </c>
      <c r="H642" s="209">
        <f>F642*G642</f>
        <v>11492400</v>
      </c>
    </row>
    <row r="643" ht="15.75" spans="1:8">
      <c r="A643" s="210"/>
      <c r="B643" s="205" t="s">
        <v>20</v>
      </c>
      <c r="C643" s="206">
        <f>D598</f>
        <v>39062</v>
      </c>
      <c r="D643" s="206">
        <v>39554</v>
      </c>
      <c r="E643" s="206">
        <f>D643-C643</f>
        <v>492</v>
      </c>
      <c r="F643" s="207"/>
      <c r="G643" s="211"/>
      <c r="H643" s="209"/>
    </row>
    <row r="644" ht="15.75" spans="1:8">
      <c r="A644" s="210"/>
      <c r="B644" s="205" t="s">
        <v>21</v>
      </c>
      <c r="C644" s="206">
        <f>D599</f>
        <v>6860</v>
      </c>
      <c r="D644" s="206">
        <v>6860</v>
      </c>
      <c r="E644" s="206">
        <f>D644-C644</f>
        <v>0</v>
      </c>
      <c r="F644" s="207">
        <f>SUM(E644:E645)</f>
        <v>76</v>
      </c>
      <c r="G644" s="209">
        <v>14500</v>
      </c>
      <c r="H644" s="209">
        <f>G644*F644</f>
        <v>1102000</v>
      </c>
    </row>
    <row r="645" ht="15.75" spans="1:8">
      <c r="A645" s="212"/>
      <c r="B645" s="205" t="s">
        <v>22</v>
      </c>
      <c r="C645" s="206">
        <f>D600</f>
        <v>6946</v>
      </c>
      <c r="D645" s="206">
        <v>7022</v>
      </c>
      <c r="E645" s="206">
        <f>D645-C645</f>
        <v>76</v>
      </c>
      <c r="F645" s="207"/>
      <c r="G645" s="209"/>
      <c r="H645" s="209"/>
    </row>
    <row r="646" ht="15.75" spans="1:8">
      <c r="A646" s="213"/>
      <c r="B646" s="213"/>
      <c r="C646" s="213"/>
      <c r="D646" s="213"/>
      <c r="E646" s="213"/>
      <c r="F646" s="213"/>
      <c r="G646" s="189" t="s">
        <v>23</v>
      </c>
      <c r="H646" s="214">
        <f>H642+H644</f>
        <v>12594400</v>
      </c>
    </row>
    <row r="647" spans="1:8">
      <c r="A647" s="213" t="s">
        <v>24</v>
      </c>
      <c r="B647" s="215">
        <f>H656</f>
        <v>12186200</v>
      </c>
      <c r="C647" s="213"/>
      <c r="D647" s="213"/>
      <c r="E647" s="213"/>
      <c r="F647" s="213"/>
      <c r="G647" s="196" t="s">
        <v>25</v>
      </c>
      <c r="H647" s="216">
        <v>11000000</v>
      </c>
    </row>
    <row r="648" ht="15.75" spans="1:8">
      <c r="A648" s="213" t="s">
        <v>26</v>
      </c>
      <c r="B648" s="217"/>
      <c r="C648" s="202"/>
      <c r="D648" s="213"/>
      <c r="E648" s="213"/>
      <c r="F648" s="213"/>
      <c r="G648" s="196" t="s">
        <v>27</v>
      </c>
      <c r="H648" s="218">
        <v>408200</v>
      </c>
    </row>
    <row r="649" ht="15.75" spans="1:8">
      <c r="A649" s="219" t="s">
        <v>18</v>
      </c>
      <c r="B649" s="215">
        <f>SUM(B647:B648)</f>
        <v>12186200</v>
      </c>
      <c r="C649" s="213"/>
      <c r="D649" s="213"/>
      <c r="E649" s="213"/>
      <c r="F649" s="213"/>
      <c r="G649" s="200" t="s">
        <v>28</v>
      </c>
      <c r="H649" s="220">
        <f>H646-H647-H648</f>
        <v>1186200</v>
      </c>
    </row>
    <row r="650" ht="15.75" spans="1:8">
      <c r="A650" s="202"/>
      <c r="C650" s="202"/>
      <c r="D650" s="202"/>
      <c r="E650" s="202"/>
      <c r="F650" s="202"/>
      <c r="G650" s="202"/>
      <c r="H650" s="202"/>
    </row>
    <row r="651" ht="15.75" spans="1:8">
      <c r="A651" s="202"/>
      <c r="B651" s="202"/>
      <c r="C651" s="202"/>
      <c r="D651" s="202"/>
      <c r="E651" s="202"/>
      <c r="F651" s="202"/>
      <c r="G651" s="202"/>
      <c r="H651" s="202"/>
    </row>
    <row r="652" ht="15.75" spans="1:8">
      <c r="A652" s="221" t="s">
        <v>23</v>
      </c>
      <c r="B652" s="222"/>
      <c r="C652" s="202"/>
      <c r="D652" s="202"/>
      <c r="E652" s="202"/>
      <c r="F652" s="202"/>
      <c r="G652" s="202"/>
      <c r="H652" s="202"/>
    </row>
    <row r="653" ht="15.75" spans="1:8">
      <c r="A653" s="205" t="s">
        <v>29</v>
      </c>
      <c r="B653" s="223">
        <f>F642</f>
        <v>942</v>
      </c>
      <c r="C653" s="202"/>
      <c r="D653" s="202"/>
      <c r="E653" s="202"/>
      <c r="F653" s="224" t="s">
        <v>30</v>
      </c>
      <c r="G653" s="224"/>
      <c r="H653" s="225">
        <f>H646</f>
        <v>12594400</v>
      </c>
    </row>
    <row r="654" ht="15.75" spans="1:8">
      <c r="A654" s="205" t="s">
        <v>31</v>
      </c>
      <c r="B654" s="223">
        <f>F644</f>
        <v>76</v>
      </c>
      <c r="C654" s="202"/>
      <c r="D654" s="202"/>
      <c r="E654" s="202"/>
      <c r="F654" s="224" t="s">
        <v>27</v>
      </c>
      <c r="G654" s="224"/>
      <c r="H654" s="225">
        <f>H648</f>
        <v>408200</v>
      </c>
    </row>
    <row r="655" ht="15.75" spans="1:8">
      <c r="A655" s="189"/>
      <c r="B655" s="226"/>
      <c r="C655" s="202"/>
      <c r="D655" s="202"/>
      <c r="E655" s="202"/>
      <c r="F655" s="224" t="s">
        <v>26</v>
      </c>
      <c r="G655" s="224"/>
      <c r="H655" s="227">
        <f>B648</f>
        <v>0</v>
      </c>
    </row>
    <row r="656" ht="15.75" spans="1:8">
      <c r="A656" s="228"/>
      <c r="B656" s="226"/>
      <c r="C656" s="202"/>
      <c r="D656" s="202"/>
      <c r="E656" s="202"/>
      <c r="F656" s="224" t="s">
        <v>28</v>
      </c>
      <c r="G656" s="224"/>
      <c r="H656" s="225">
        <f>H653-H654-H655</f>
        <v>12186200</v>
      </c>
    </row>
    <row r="658" ht="15.75" spans="1:8">
      <c r="A658" s="229"/>
      <c r="B658" s="230"/>
      <c r="C658" s="230"/>
      <c r="D658" s="230"/>
      <c r="E658" s="229"/>
      <c r="F658" s="231"/>
      <c r="G658" s="230"/>
      <c r="H658" s="230"/>
    </row>
    <row r="659" spans="1:8">
      <c r="A659" s="232"/>
      <c r="B659" s="233"/>
      <c r="C659" s="234"/>
      <c r="D659" s="234"/>
      <c r="E659" s="232"/>
      <c r="F659" s="233"/>
      <c r="G659" s="234"/>
      <c r="H659" s="234"/>
    </row>
    <row r="660" spans="1:8">
      <c r="A660" s="232"/>
      <c r="B660" s="233"/>
      <c r="C660" s="234"/>
      <c r="D660" s="234"/>
      <c r="E660" s="232"/>
      <c r="F660" s="233"/>
      <c r="G660" s="234"/>
      <c r="H660" s="234"/>
    </row>
    <row r="661" spans="1:8">
      <c r="A661" s="232"/>
      <c r="B661" s="233"/>
      <c r="C661" s="234"/>
      <c r="D661" s="234"/>
      <c r="E661" s="232"/>
      <c r="F661" s="233"/>
      <c r="G661" s="234"/>
      <c r="H661" s="234"/>
    </row>
    <row r="662" spans="1:8">
      <c r="A662" s="232"/>
      <c r="B662" s="233"/>
      <c r="C662" s="234"/>
      <c r="D662" s="234"/>
      <c r="E662" s="232"/>
      <c r="F662" s="233"/>
      <c r="G662" s="234"/>
      <c r="H662" s="234"/>
    </row>
    <row r="663" spans="1:8">
      <c r="A663" s="232"/>
      <c r="B663" s="233"/>
      <c r="C663" s="234"/>
      <c r="D663" s="234"/>
      <c r="E663" s="232"/>
      <c r="F663" s="233"/>
      <c r="G663" s="234"/>
      <c r="H663" s="234"/>
    </row>
    <row r="664" spans="1:8">
      <c r="A664" s="232"/>
      <c r="B664" s="233"/>
      <c r="C664" s="234"/>
      <c r="D664" s="234"/>
      <c r="E664" s="232"/>
      <c r="F664" s="233"/>
      <c r="G664" s="234"/>
      <c r="H664" s="234"/>
    </row>
    <row r="665" spans="1:8">
      <c r="A665" s="232"/>
      <c r="B665" s="233"/>
      <c r="C665" s="235"/>
      <c r="D665" s="235"/>
      <c r="E665" s="236"/>
      <c r="F665" s="236"/>
      <c r="G665" s="237"/>
      <c r="H665" s="237"/>
    </row>
    <row r="666" spans="1:8">
      <c r="A666" s="109"/>
      <c r="B666" s="109"/>
      <c r="C666" s="109"/>
      <c r="D666" s="109"/>
      <c r="E666" s="109"/>
      <c r="F666" s="109"/>
      <c r="G666" s="109"/>
      <c r="H666" s="109"/>
    </row>
    <row r="676" ht="18" spans="1:8">
      <c r="A676" s="109"/>
      <c r="B676" s="109"/>
      <c r="C676" s="184" t="s">
        <v>0</v>
      </c>
      <c r="D676" s="184"/>
      <c r="E676" s="184"/>
      <c r="F676" s="184"/>
      <c r="G676" s="184"/>
      <c r="H676" s="184"/>
    </row>
    <row r="677" ht="18" spans="1:8">
      <c r="A677" s="185"/>
      <c r="B677" s="185"/>
      <c r="C677" s="186" t="s">
        <v>1</v>
      </c>
      <c r="D677" s="186"/>
      <c r="E677" s="186"/>
      <c r="F677" s="186"/>
      <c r="G677" s="186"/>
      <c r="H677" s="186"/>
    </row>
    <row r="678" ht="18" spans="1:8">
      <c r="A678" s="187"/>
      <c r="B678" s="187"/>
      <c r="C678" s="188" t="s">
        <v>2</v>
      </c>
      <c r="D678" s="188"/>
      <c r="E678" s="188"/>
      <c r="F678" s="188"/>
      <c r="G678" s="188"/>
      <c r="H678" s="188"/>
    </row>
    <row r="679" ht="15.75" spans="1:8">
      <c r="A679" s="187"/>
      <c r="B679" s="189"/>
      <c r="C679" s="190"/>
      <c r="D679" s="190"/>
      <c r="E679" s="190"/>
      <c r="F679" s="191"/>
      <c r="G679" s="192"/>
      <c r="H679" s="192"/>
    </row>
    <row r="680" ht="15.75" spans="1:8">
      <c r="A680" s="187"/>
      <c r="B680" s="189"/>
      <c r="C680" s="190"/>
      <c r="D680" s="190"/>
      <c r="E680" s="190"/>
      <c r="F680" s="193"/>
      <c r="G680" s="194"/>
      <c r="H680" s="195"/>
    </row>
    <row r="681" ht="15.75" spans="1:8">
      <c r="A681" s="196" t="s">
        <v>3</v>
      </c>
      <c r="B681" s="196" t="s">
        <v>49</v>
      </c>
      <c r="C681" s="196"/>
      <c r="D681" s="196"/>
      <c r="E681" s="196"/>
      <c r="F681" s="196" t="s">
        <v>5</v>
      </c>
      <c r="G681" s="197">
        <v>0.208333333333333</v>
      </c>
      <c r="H681" s="198"/>
    </row>
    <row r="682" spans="1:8">
      <c r="A682" s="196" t="s">
        <v>6</v>
      </c>
      <c r="B682" s="195" t="s">
        <v>10</v>
      </c>
      <c r="C682" s="196"/>
      <c r="D682" s="196"/>
      <c r="E682" s="196"/>
      <c r="F682" s="196" t="s">
        <v>8</v>
      </c>
      <c r="G682" s="199">
        <v>0.875</v>
      </c>
      <c r="H682" s="195"/>
    </row>
    <row r="683" spans="1:8">
      <c r="A683" s="196" t="s">
        <v>9</v>
      </c>
      <c r="B683" s="195" t="s">
        <v>33</v>
      </c>
      <c r="C683" s="196"/>
      <c r="D683" s="196"/>
      <c r="E683" s="196"/>
      <c r="F683" s="196"/>
      <c r="G683" s="196"/>
      <c r="H683" s="195"/>
    </row>
    <row r="684" ht="15.75" spans="1:8">
      <c r="A684" s="189"/>
      <c r="B684" s="195"/>
      <c r="C684" s="196"/>
      <c r="D684" s="196"/>
      <c r="E684" s="196"/>
      <c r="F684" s="196"/>
      <c r="G684" s="200"/>
      <c r="H684" s="201"/>
    </row>
    <row r="685" ht="15.75" spans="1:8">
      <c r="A685" s="202"/>
      <c r="B685" s="202" t="s">
        <v>50</v>
      </c>
      <c r="C685" s="202"/>
      <c r="D685" s="202"/>
      <c r="E685" s="202"/>
      <c r="F685" s="202"/>
      <c r="G685" s="202"/>
      <c r="H685" s="202"/>
    </row>
    <row r="686" ht="15.75" spans="1:8">
      <c r="A686" s="203" t="s">
        <v>11</v>
      </c>
      <c r="B686" s="203" t="s">
        <v>12</v>
      </c>
      <c r="C686" s="203" t="s">
        <v>13</v>
      </c>
      <c r="D686" s="203" t="s">
        <v>14</v>
      </c>
      <c r="E686" s="203" t="s">
        <v>15</v>
      </c>
      <c r="F686" s="203" t="s">
        <v>16</v>
      </c>
      <c r="G686" s="203" t="s">
        <v>17</v>
      </c>
      <c r="H686" s="203" t="s">
        <v>18</v>
      </c>
    </row>
    <row r="687" ht="15.75" spans="1:8">
      <c r="A687" s="204">
        <v>1</v>
      </c>
      <c r="B687" s="205" t="s">
        <v>19</v>
      </c>
      <c r="C687" s="206">
        <f>D642</f>
        <v>37904</v>
      </c>
      <c r="D687" s="206">
        <v>38569</v>
      </c>
      <c r="E687" s="206">
        <f>D687-C687</f>
        <v>665</v>
      </c>
      <c r="F687" s="207">
        <f>SUM(E687:E688)</f>
        <v>1222</v>
      </c>
      <c r="G687" s="208">
        <v>12200</v>
      </c>
      <c r="H687" s="209">
        <f>F687*G687</f>
        <v>14908400</v>
      </c>
    </row>
    <row r="688" ht="15.75" spans="1:8">
      <c r="A688" s="210"/>
      <c r="B688" s="205" t="s">
        <v>20</v>
      </c>
      <c r="C688" s="206">
        <f>D643</f>
        <v>39554</v>
      </c>
      <c r="D688" s="206">
        <v>40111</v>
      </c>
      <c r="E688" s="206">
        <f>D688-C688</f>
        <v>557</v>
      </c>
      <c r="F688" s="207"/>
      <c r="G688" s="211"/>
      <c r="H688" s="209"/>
    </row>
    <row r="689" ht="15.75" spans="1:8">
      <c r="A689" s="210"/>
      <c r="B689" s="205" t="s">
        <v>21</v>
      </c>
      <c r="C689" s="206">
        <f>D644</f>
        <v>6860</v>
      </c>
      <c r="D689" s="206">
        <v>6860</v>
      </c>
      <c r="E689" s="206">
        <f>D689-C689</f>
        <v>0</v>
      </c>
      <c r="F689" s="207">
        <f>SUM(E689:E690)</f>
        <v>10</v>
      </c>
      <c r="G689" s="209">
        <v>14500</v>
      </c>
      <c r="H689" s="209">
        <f>G689*F689</f>
        <v>145000</v>
      </c>
    </row>
    <row r="690" ht="15.75" spans="1:8">
      <c r="A690" s="212"/>
      <c r="B690" s="205" t="s">
        <v>22</v>
      </c>
      <c r="C690" s="206">
        <f>D645</f>
        <v>7022</v>
      </c>
      <c r="D690" s="206">
        <v>7032</v>
      </c>
      <c r="E690" s="206">
        <f>D690-C690</f>
        <v>10</v>
      </c>
      <c r="F690" s="207"/>
      <c r="G690" s="209"/>
      <c r="H690" s="209"/>
    </row>
    <row r="691" ht="15.75" spans="1:8">
      <c r="A691" s="213"/>
      <c r="B691" s="213"/>
      <c r="C691" s="213"/>
      <c r="D691" s="213"/>
      <c r="E691" s="213"/>
      <c r="F691" s="213"/>
      <c r="G691" s="189" t="s">
        <v>23</v>
      </c>
      <c r="H691" s="214">
        <f>H687+H689</f>
        <v>15053400</v>
      </c>
    </row>
    <row r="692" spans="1:8">
      <c r="A692" s="213" t="s">
        <v>24</v>
      </c>
      <c r="B692" s="215">
        <v>14500000</v>
      </c>
      <c r="C692" s="213" t="s">
        <v>35</v>
      </c>
      <c r="D692" s="213"/>
      <c r="E692" s="213"/>
      <c r="F692" s="213"/>
      <c r="G692" s="196" t="s">
        <v>25</v>
      </c>
      <c r="H692" s="216">
        <v>13000000</v>
      </c>
    </row>
    <row r="693" ht="15.75" spans="1:8">
      <c r="A693" s="213" t="s">
        <v>26</v>
      </c>
      <c r="B693" s="217">
        <v>3000</v>
      </c>
      <c r="C693" s="202"/>
      <c r="D693" s="213"/>
      <c r="E693" s="213"/>
      <c r="F693" s="213"/>
      <c r="G693" s="196" t="s">
        <v>27</v>
      </c>
      <c r="H693" s="218">
        <v>550826</v>
      </c>
    </row>
    <row r="694" ht="15.75" spans="1:8">
      <c r="A694" s="219" t="s">
        <v>18</v>
      </c>
      <c r="B694" s="215">
        <f>SUM(B692:B693)</f>
        <v>14503000</v>
      </c>
      <c r="C694" s="213"/>
      <c r="D694" s="213"/>
      <c r="E694" s="213"/>
      <c r="F694" s="213"/>
      <c r="G694" s="200" t="s">
        <v>28</v>
      </c>
      <c r="H694" s="220">
        <f>H691-H692-H693</f>
        <v>1502574</v>
      </c>
    </row>
    <row r="695" ht="15.75" spans="1:8">
      <c r="A695" s="202"/>
      <c r="C695" s="202"/>
      <c r="D695" s="202"/>
      <c r="E695" s="202"/>
      <c r="F695" s="202"/>
      <c r="G695" s="202"/>
      <c r="H695" s="202"/>
    </row>
    <row r="696" ht="15.75" spans="1:8">
      <c r="A696" s="202"/>
      <c r="B696" s="202"/>
      <c r="C696" s="202"/>
      <c r="D696" s="202"/>
      <c r="E696" s="202"/>
      <c r="F696" s="202"/>
      <c r="G696" s="202"/>
      <c r="H696" s="202"/>
    </row>
    <row r="697" ht="15.75" spans="1:8">
      <c r="A697" s="221" t="s">
        <v>23</v>
      </c>
      <c r="B697" s="222"/>
      <c r="C697" s="202"/>
      <c r="D697" s="202"/>
      <c r="E697" s="202"/>
      <c r="F697" s="202"/>
      <c r="G697" s="202"/>
      <c r="H697" s="202"/>
    </row>
    <row r="698" ht="15.75" spans="1:8">
      <c r="A698" s="205" t="s">
        <v>29</v>
      </c>
      <c r="B698" s="223">
        <f>F687</f>
        <v>1222</v>
      </c>
      <c r="C698" s="202"/>
      <c r="D698" s="202"/>
      <c r="E698" s="202"/>
      <c r="F698" s="224" t="s">
        <v>30</v>
      </c>
      <c r="G698" s="224"/>
      <c r="H698" s="225">
        <f>H691</f>
        <v>15053400</v>
      </c>
    </row>
    <row r="699" ht="15.75" spans="1:8">
      <c r="A699" s="205" t="s">
        <v>31</v>
      </c>
      <c r="B699" s="223">
        <f>F689</f>
        <v>10</v>
      </c>
      <c r="C699" s="202"/>
      <c r="D699" s="202"/>
      <c r="E699" s="202"/>
      <c r="F699" s="224" t="s">
        <v>27</v>
      </c>
      <c r="G699" s="224"/>
      <c r="H699" s="225">
        <f>H693</f>
        <v>550826</v>
      </c>
    </row>
    <row r="700" ht="15.75" spans="1:8">
      <c r="A700" s="189"/>
      <c r="B700" s="226"/>
      <c r="C700" s="202" t="s">
        <v>35</v>
      </c>
      <c r="D700" s="202"/>
      <c r="E700" s="202"/>
      <c r="F700" s="224" t="s">
        <v>26</v>
      </c>
      <c r="G700" s="224"/>
      <c r="H700" s="227">
        <f>B693</f>
        <v>3000</v>
      </c>
    </row>
    <row r="701" ht="15.75" spans="1:8">
      <c r="A701" s="228"/>
      <c r="B701" s="226"/>
      <c r="C701" s="202"/>
      <c r="D701" s="202"/>
      <c r="E701" s="202"/>
      <c r="F701" s="224" t="s">
        <v>28</v>
      </c>
      <c r="G701" s="224"/>
      <c r="H701" s="225">
        <f>H698-H699-H700</f>
        <v>14499574</v>
      </c>
    </row>
    <row r="703" ht="15.75" spans="1:8">
      <c r="A703" s="229"/>
      <c r="B703" s="230"/>
      <c r="C703" s="230"/>
      <c r="D703" s="230"/>
      <c r="E703" s="229"/>
      <c r="F703" s="231"/>
      <c r="G703" s="230"/>
      <c r="H703" s="230"/>
    </row>
    <row r="704" spans="1:8">
      <c r="A704" s="232"/>
      <c r="B704" s="233"/>
      <c r="C704" s="234"/>
      <c r="D704" s="234"/>
      <c r="E704" s="232"/>
      <c r="F704" s="233"/>
      <c r="G704" s="234"/>
      <c r="H704" s="234"/>
    </row>
    <row r="705" spans="1:8">
      <c r="A705" s="232"/>
      <c r="B705" s="233"/>
      <c r="C705" s="234"/>
      <c r="D705" s="234"/>
      <c r="E705" s="232"/>
      <c r="F705" s="233"/>
      <c r="G705" s="234"/>
      <c r="H705" s="234"/>
    </row>
    <row r="706" spans="1:8">
      <c r="A706" s="232"/>
      <c r="B706" s="233"/>
      <c r="C706" s="234"/>
      <c r="D706" s="234"/>
      <c r="E706" s="232"/>
      <c r="F706" s="233"/>
      <c r="G706" s="234"/>
      <c r="H706" s="234"/>
    </row>
    <row r="707" spans="1:8">
      <c r="A707" s="232"/>
      <c r="B707" s="233"/>
      <c r="C707" s="234"/>
      <c r="D707" s="234"/>
      <c r="E707" s="232"/>
      <c r="F707" s="233"/>
      <c r="G707" s="234"/>
      <c r="H707" s="234"/>
    </row>
    <row r="708" spans="1:8">
      <c r="A708" s="232"/>
      <c r="B708" s="233"/>
      <c r="C708" s="234"/>
      <c r="D708" s="234"/>
      <c r="E708" s="232"/>
      <c r="F708" s="233"/>
      <c r="G708" s="234"/>
      <c r="H708" s="234"/>
    </row>
    <row r="709" spans="1:8">
      <c r="A709" s="232"/>
      <c r="B709" s="233"/>
      <c r="C709" s="234"/>
      <c r="D709" s="234"/>
      <c r="E709" s="232"/>
      <c r="F709" s="233"/>
      <c r="G709" s="234"/>
      <c r="H709" s="234"/>
    </row>
    <row r="710" spans="1:8">
      <c r="A710" s="232"/>
      <c r="B710" s="233"/>
      <c r="C710" s="235"/>
      <c r="D710" s="235"/>
      <c r="E710" s="236"/>
      <c r="F710" s="236"/>
      <c r="G710" s="237"/>
      <c r="H710" s="237"/>
    </row>
    <row r="711" spans="1:8">
      <c r="A711" s="109"/>
      <c r="B711" s="109"/>
      <c r="C711" s="109"/>
      <c r="D711" s="109"/>
      <c r="E711" s="109"/>
      <c r="F711" s="109"/>
      <c r="G711" s="109"/>
      <c r="H711" s="109"/>
    </row>
    <row r="721" ht="18" spans="1:8">
      <c r="A721" s="109"/>
      <c r="B721" s="109"/>
      <c r="C721" s="184" t="s">
        <v>0</v>
      </c>
      <c r="D721" s="184"/>
      <c r="E721" s="184"/>
      <c r="F721" s="184"/>
      <c r="G721" s="184"/>
      <c r="H721" s="184"/>
    </row>
    <row r="722" ht="18" spans="1:8">
      <c r="A722" s="185"/>
      <c r="B722" s="185"/>
      <c r="C722" s="186" t="s">
        <v>1</v>
      </c>
      <c r="D722" s="186"/>
      <c r="E722" s="186"/>
      <c r="F722" s="186"/>
      <c r="G722" s="186"/>
      <c r="H722" s="186"/>
    </row>
    <row r="723" ht="18" spans="1:8">
      <c r="A723" s="187"/>
      <c r="B723" s="187"/>
      <c r="C723" s="188" t="s">
        <v>2</v>
      </c>
      <c r="D723" s="188"/>
      <c r="E723" s="188"/>
      <c r="F723" s="188"/>
      <c r="G723" s="188"/>
      <c r="H723" s="188"/>
    </row>
    <row r="724" ht="15.75" spans="1:8">
      <c r="A724" s="187"/>
      <c r="B724" s="189"/>
      <c r="C724" s="190"/>
      <c r="D724" s="190"/>
      <c r="E724" s="190"/>
      <c r="F724" s="191"/>
      <c r="G724" s="192"/>
      <c r="H724" s="192"/>
    </row>
    <row r="725" ht="15.75" spans="1:8">
      <c r="A725" s="187"/>
      <c r="B725" s="189"/>
      <c r="C725" s="190"/>
      <c r="D725" s="190"/>
      <c r="E725" s="190"/>
      <c r="F725" s="193"/>
      <c r="G725" s="194"/>
      <c r="H725" s="195"/>
    </row>
    <row r="726" ht="15.75" spans="1:8">
      <c r="A726" s="196" t="s">
        <v>3</v>
      </c>
      <c r="B726" s="196" t="s">
        <v>51</v>
      </c>
      <c r="C726" s="196"/>
      <c r="D726" s="196"/>
      <c r="E726" s="196"/>
      <c r="F726" s="196" t="s">
        <v>5</v>
      </c>
      <c r="G726" s="197">
        <v>0.208333333333333</v>
      </c>
      <c r="H726" s="198"/>
    </row>
    <row r="727" spans="1:8">
      <c r="A727" s="196" t="s">
        <v>6</v>
      </c>
      <c r="B727" s="195" t="s">
        <v>7</v>
      </c>
      <c r="C727" s="196"/>
      <c r="D727" s="196"/>
      <c r="E727" s="196"/>
      <c r="F727" s="196" t="s">
        <v>8</v>
      </c>
      <c r="G727" s="199">
        <v>0.875</v>
      </c>
      <c r="H727" s="195"/>
    </row>
    <row r="728" spans="1:8">
      <c r="A728" s="196" t="s">
        <v>9</v>
      </c>
      <c r="B728" s="195" t="s">
        <v>33</v>
      </c>
      <c r="C728" s="196"/>
      <c r="D728" s="196"/>
      <c r="E728" s="196"/>
      <c r="F728" s="196"/>
      <c r="G728" s="196"/>
      <c r="H728" s="195"/>
    </row>
    <row r="729" ht="15.75" spans="1:8">
      <c r="A729" s="189"/>
      <c r="B729" s="195"/>
      <c r="C729" s="196"/>
      <c r="D729" s="196"/>
      <c r="E729" s="196"/>
      <c r="F729" s="196"/>
      <c r="G729" s="200"/>
      <c r="H729" s="201"/>
    </row>
    <row r="730" ht="15.75" spans="1:8">
      <c r="A730" s="202"/>
      <c r="B730" s="202" t="s">
        <v>50</v>
      </c>
      <c r="C730" s="202"/>
      <c r="D730" s="202"/>
      <c r="E730" s="202"/>
      <c r="F730" s="202"/>
      <c r="G730" s="202"/>
      <c r="H730" s="202"/>
    </row>
    <row r="731" ht="15.75" spans="1:8">
      <c r="A731" s="203" t="s">
        <v>11</v>
      </c>
      <c r="B731" s="203" t="s">
        <v>12</v>
      </c>
      <c r="C731" s="203" t="s">
        <v>13</v>
      </c>
      <c r="D731" s="203" t="s">
        <v>14</v>
      </c>
      <c r="E731" s="203" t="s">
        <v>15</v>
      </c>
      <c r="F731" s="203" t="s">
        <v>16</v>
      </c>
      <c r="G731" s="203" t="s">
        <v>17</v>
      </c>
      <c r="H731" s="203" t="s">
        <v>18</v>
      </c>
    </row>
    <row r="732" ht="15.75" spans="1:8">
      <c r="A732" s="204">
        <v>1</v>
      </c>
      <c r="B732" s="205" t="s">
        <v>19</v>
      </c>
      <c r="C732" s="206">
        <f>D687</f>
        <v>38569</v>
      </c>
      <c r="D732" s="206">
        <v>39141</v>
      </c>
      <c r="E732" s="206">
        <f>D732-C732</f>
        <v>572</v>
      </c>
      <c r="F732" s="207">
        <f>SUM(E732:E733)</f>
        <v>1132</v>
      </c>
      <c r="G732" s="208">
        <v>12200</v>
      </c>
      <c r="H732" s="209">
        <f>F732*G732</f>
        <v>13810400</v>
      </c>
    </row>
    <row r="733" ht="15.75" spans="1:8">
      <c r="A733" s="210"/>
      <c r="B733" s="205" t="s">
        <v>20</v>
      </c>
      <c r="C733" s="206">
        <f>D688</f>
        <v>40111</v>
      </c>
      <c r="D733" s="206">
        <v>40671</v>
      </c>
      <c r="E733" s="206">
        <f>D733-C733</f>
        <v>560</v>
      </c>
      <c r="F733" s="207"/>
      <c r="G733" s="211"/>
      <c r="H733" s="209"/>
    </row>
    <row r="734" ht="15.75" spans="1:8">
      <c r="A734" s="210"/>
      <c r="B734" s="205" t="s">
        <v>21</v>
      </c>
      <c r="C734" s="206">
        <f>D689</f>
        <v>6860</v>
      </c>
      <c r="D734" s="206">
        <v>6860</v>
      </c>
      <c r="E734" s="206">
        <f>D734-C734</f>
        <v>0</v>
      </c>
      <c r="F734" s="207">
        <f>SUM(E734:E735)</f>
        <v>25</v>
      </c>
      <c r="G734" s="209">
        <v>14500</v>
      </c>
      <c r="H734" s="209">
        <f>G734*F734</f>
        <v>362500</v>
      </c>
    </row>
    <row r="735" ht="15.75" spans="1:8">
      <c r="A735" s="212"/>
      <c r="B735" s="205" t="s">
        <v>22</v>
      </c>
      <c r="C735" s="206">
        <f>D690</f>
        <v>7032</v>
      </c>
      <c r="D735" s="206">
        <v>7057</v>
      </c>
      <c r="E735" s="206">
        <f>D735-C735</f>
        <v>25</v>
      </c>
      <c r="F735" s="207"/>
      <c r="G735" s="209"/>
      <c r="H735" s="209"/>
    </row>
    <row r="736" ht="15.75" spans="1:8">
      <c r="A736" s="213"/>
      <c r="B736" s="213"/>
      <c r="C736" s="213"/>
      <c r="D736" s="213"/>
      <c r="E736" s="213"/>
      <c r="F736" s="213"/>
      <c r="G736" s="189" t="s">
        <v>23</v>
      </c>
      <c r="H736" s="214">
        <f>H732+H734</f>
        <v>14172900</v>
      </c>
    </row>
    <row r="737" spans="1:8">
      <c r="A737" s="213" t="s">
        <v>24</v>
      </c>
      <c r="B737" s="215">
        <v>12097000</v>
      </c>
      <c r="C737" s="213" t="s">
        <v>35</v>
      </c>
      <c r="D737" s="213"/>
      <c r="E737" s="213"/>
      <c r="F737" s="213"/>
      <c r="G737" s="196" t="s">
        <v>25</v>
      </c>
      <c r="H737" s="216">
        <v>11000000</v>
      </c>
    </row>
    <row r="738" ht="15.75" spans="1:8">
      <c r="A738" s="213" t="s">
        <v>26</v>
      </c>
      <c r="B738" s="217">
        <v>5500</v>
      </c>
      <c r="C738" s="202"/>
      <c r="D738" s="213"/>
      <c r="E738" s="213"/>
      <c r="F738" s="213"/>
      <c r="G738" s="196" t="s">
        <v>27</v>
      </c>
      <c r="H738" s="218">
        <v>2070858</v>
      </c>
    </row>
    <row r="739" ht="15.75" spans="1:8">
      <c r="A739" s="219" t="s">
        <v>18</v>
      </c>
      <c r="B739" s="215">
        <f>SUM(B737:B738)</f>
        <v>12102500</v>
      </c>
      <c r="C739" s="213"/>
      <c r="D739" s="213"/>
      <c r="E739" s="213"/>
      <c r="F739" s="213"/>
      <c r="G739" s="200" t="s">
        <v>28</v>
      </c>
      <c r="H739" s="220">
        <f>H736-H737-H738</f>
        <v>1102042</v>
      </c>
    </row>
    <row r="740" ht="15.75" spans="1:8">
      <c r="A740" s="202"/>
      <c r="C740" s="202"/>
      <c r="D740" s="202"/>
      <c r="E740" s="202"/>
      <c r="F740" s="202"/>
      <c r="G740" s="202"/>
      <c r="H740" s="202"/>
    </row>
    <row r="741" ht="15.75" spans="1:8">
      <c r="A741" s="202"/>
      <c r="B741" s="202"/>
      <c r="C741" s="202"/>
      <c r="D741" s="202"/>
      <c r="E741" s="202"/>
      <c r="F741" s="202"/>
      <c r="G741" s="202"/>
      <c r="H741" s="202"/>
    </row>
    <row r="742" ht="15.75" spans="1:8">
      <c r="A742" s="221" t="s">
        <v>23</v>
      </c>
      <c r="B742" s="222"/>
      <c r="C742" s="202"/>
      <c r="D742" s="202"/>
      <c r="E742" s="202"/>
      <c r="F742" s="202"/>
      <c r="G742" s="202"/>
      <c r="H742" s="202"/>
    </row>
    <row r="743" ht="15.75" spans="1:8">
      <c r="A743" s="205" t="s">
        <v>29</v>
      </c>
      <c r="B743" s="223">
        <f>F732</f>
        <v>1132</v>
      </c>
      <c r="C743" s="202"/>
      <c r="D743" s="202"/>
      <c r="E743" s="202"/>
      <c r="F743" s="224" t="s">
        <v>30</v>
      </c>
      <c r="G743" s="224"/>
      <c r="H743" s="225">
        <f>H736</f>
        <v>14172900</v>
      </c>
    </row>
    <row r="744" ht="15.75" spans="1:8">
      <c r="A744" s="205" t="s">
        <v>31</v>
      </c>
      <c r="B744" s="223">
        <f>F734</f>
        <v>25</v>
      </c>
      <c r="C744" s="202"/>
      <c r="D744" s="202"/>
      <c r="E744" s="202"/>
      <c r="F744" s="224" t="s">
        <v>27</v>
      </c>
      <c r="G744" s="224"/>
      <c r="H744" s="225">
        <f>H738</f>
        <v>2070858</v>
      </c>
    </row>
    <row r="745" ht="15.75" spans="1:8">
      <c r="A745" s="189"/>
      <c r="B745" s="226"/>
      <c r="C745" s="202" t="s">
        <v>35</v>
      </c>
      <c r="D745" s="202"/>
      <c r="E745" s="202"/>
      <c r="F745" s="224" t="s">
        <v>26</v>
      </c>
      <c r="G745" s="224"/>
      <c r="H745" s="227">
        <f>B738</f>
        <v>5500</v>
      </c>
    </row>
    <row r="746" ht="15.75" spans="1:8">
      <c r="A746" s="228"/>
      <c r="B746" s="226"/>
      <c r="C746" s="202"/>
      <c r="D746" s="202"/>
      <c r="E746" s="202"/>
      <c r="F746" s="224" t="s">
        <v>28</v>
      </c>
      <c r="G746" s="224"/>
      <c r="H746" s="225">
        <f>H743-H744-H745</f>
        <v>12096542</v>
      </c>
    </row>
    <row r="748" ht="15.75" spans="1:8">
      <c r="A748" s="229"/>
      <c r="B748" s="230"/>
      <c r="C748" s="230"/>
      <c r="D748" s="230"/>
      <c r="E748" s="229"/>
      <c r="F748" s="231"/>
      <c r="G748" s="230"/>
      <c r="H748" s="230"/>
    </row>
    <row r="749" spans="1:8">
      <c r="A749" s="232"/>
      <c r="B749" s="233"/>
      <c r="C749" s="234"/>
      <c r="D749" s="234"/>
      <c r="E749" s="232"/>
      <c r="F749" s="233"/>
      <c r="G749" s="234"/>
      <c r="H749" s="234"/>
    </row>
    <row r="750" spans="1:8">
      <c r="A750" s="232"/>
      <c r="B750" s="233"/>
      <c r="C750" s="234"/>
      <c r="D750" s="234"/>
      <c r="E750" s="232"/>
      <c r="F750" s="233"/>
      <c r="G750" s="234"/>
      <c r="H750" s="234"/>
    </row>
    <row r="751" spans="1:8">
      <c r="A751" s="232"/>
      <c r="B751" s="233"/>
      <c r="C751" s="234"/>
      <c r="D751" s="234"/>
      <c r="E751" s="232"/>
      <c r="F751" s="233"/>
      <c r="G751" s="234"/>
      <c r="H751" s="234"/>
    </row>
    <row r="752" spans="1:8">
      <c r="A752" s="232"/>
      <c r="B752" s="233"/>
      <c r="C752" s="234"/>
      <c r="D752" s="234"/>
      <c r="E752" s="232"/>
      <c r="F752" s="233"/>
      <c r="G752" s="234"/>
      <c r="H752" s="234"/>
    </row>
    <row r="753" spans="1:8">
      <c r="A753" s="232"/>
      <c r="B753" s="233"/>
      <c r="C753" s="234"/>
      <c r="D753" s="234"/>
      <c r="E753" s="232"/>
      <c r="F753" s="233"/>
      <c r="G753" s="234"/>
      <c r="H753" s="234"/>
    </row>
    <row r="754" spans="1:8">
      <c r="A754" s="232"/>
      <c r="B754" s="233"/>
      <c r="C754" s="234"/>
      <c r="D754" s="234"/>
      <c r="E754" s="232"/>
      <c r="F754" s="233"/>
      <c r="G754" s="234"/>
      <c r="H754" s="234"/>
    </row>
    <row r="755" spans="1:8">
      <c r="A755" s="232"/>
      <c r="B755" s="233"/>
      <c r="C755" s="235"/>
      <c r="D755" s="235"/>
      <c r="E755" s="236"/>
      <c r="F755" s="236"/>
      <c r="G755" s="237"/>
      <c r="H755" s="237"/>
    </row>
    <row r="756" spans="1:8">
      <c r="A756" s="109"/>
      <c r="B756" s="109"/>
      <c r="C756" s="109"/>
      <c r="D756" s="109"/>
      <c r="E756" s="109"/>
      <c r="F756" s="109"/>
      <c r="G756" s="109"/>
      <c r="H756" s="109"/>
    </row>
    <row r="766" ht="18" spans="1:8">
      <c r="A766" s="109"/>
      <c r="B766" s="109"/>
      <c r="C766" s="184" t="s">
        <v>0</v>
      </c>
      <c r="D766" s="184"/>
      <c r="E766" s="184"/>
      <c r="F766" s="184"/>
      <c r="G766" s="184"/>
      <c r="H766" s="184"/>
    </row>
    <row r="767" ht="18" spans="1:8">
      <c r="A767" s="185"/>
      <c r="B767" s="185"/>
      <c r="C767" s="186" t="s">
        <v>1</v>
      </c>
      <c r="D767" s="186"/>
      <c r="E767" s="186"/>
      <c r="F767" s="186"/>
      <c r="G767" s="186"/>
      <c r="H767" s="186"/>
    </row>
    <row r="768" ht="18" spans="1:8">
      <c r="A768" s="187"/>
      <c r="B768" s="187"/>
      <c r="C768" s="188" t="s">
        <v>2</v>
      </c>
      <c r="D768" s="188"/>
      <c r="E768" s="188"/>
      <c r="F768" s="188"/>
      <c r="G768" s="188"/>
      <c r="H768" s="188"/>
    </row>
    <row r="769" ht="15.75" spans="1:8">
      <c r="A769" s="187"/>
      <c r="B769" s="189"/>
      <c r="C769" s="190"/>
      <c r="D769" s="190"/>
      <c r="E769" s="190"/>
      <c r="F769" s="191"/>
      <c r="G769" s="192"/>
      <c r="H769" s="192"/>
    </row>
    <row r="770" ht="15.75" spans="1:8">
      <c r="A770" s="187"/>
      <c r="B770" s="189"/>
      <c r="C770" s="190"/>
      <c r="D770" s="190"/>
      <c r="E770" s="190"/>
      <c r="F770" s="193"/>
      <c r="G770" s="194"/>
      <c r="H770" s="195"/>
    </row>
    <row r="771" ht="15.75" spans="1:8">
      <c r="A771" s="196" t="s">
        <v>3</v>
      </c>
      <c r="B771" s="196" t="s">
        <v>52</v>
      </c>
      <c r="C771" s="196"/>
      <c r="D771" s="196"/>
      <c r="E771" s="196"/>
      <c r="F771" s="196" t="s">
        <v>5</v>
      </c>
      <c r="G771" s="197">
        <v>0.208333333333333</v>
      </c>
      <c r="H771" s="198"/>
    </row>
    <row r="772" spans="1:8">
      <c r="A772" s="196" t="s">
        <v>6</v>
      </c>
      <c r="B772" s="195" t="s">
        <v>10</v>
      </c>
      <c r="C772" s="196"/>
      <c r="D772" s="196"/>
      <c r="E772" s="196"/>
      <c r="F772" s="196" t="s">
        <v>8</v>
      </c>
      <c r="G772" s="199">
        <v>0.875</v>
      </c>
      <c r="H772" s="195"/>
    </row>
    <row r="773" spans="1:8">
      <c r="A773" s="196" t="s">
        <v>9</v>
      </c>
      <c r="B773" s="195" t="s">
        <v>33</v>
      </c>
      <c r="C773" s="196"/>
      <c r="D773" s="196"/>
      <c r="E773" s="196"/>
      <c r="F773" s="196"/>
      <c r="G773" s="196"/>
      <c r="H773" s="195"/>
    </row>
    <row r="774" ht="15.75" spans="1:8">
      <c r="A774" s="189"/>
      <c r="B774" s="195"/>
      <c r="C774" s="196"/>
      <c r="D774" s="196"/>
      <c r="E774" s="196"/>
      <c r="F774" s="196"/>
      <c r="G774" s="200"/>
      <c r="H774" s="201"/>
    </row>
    <row r="775" ht="15.75" spans="1:8">
      <c r="A775" s="202"/>
      <c r="B775" s="202"/>
      <c r="C775" s="202"/>
      <c r="D775" s="202"/>
      <c r="E775" s="202"/>
      <c r="F775" s="202"/>
      <c r="G775" s="202"/>
      <c r="H775" s="202"/>
    </row>
    <row r="776" ht="15.75" spans="1:8">
      <c r="A776" s="203" t="s">
        <v>11</v>
      </c>
      <c r="B776" s="203" t="s">
        <v>12</v>
      </c>
      <c r="C776" s="203" t="s">
        <v>13</v>
      </c>
      <c r="D776" s="203" t="s">
        <v>14</v>
      </c>
      <c r="E776" s="203" t="s">
        <v>15</v>
      </c>
      <c r="F776" s="203" t="s">
        <v>16</v>
      </c>
      <c r="G776" s="203" t="s">
        <v>17</v>
      </c>
      <c r="H776" s="203" t="s">
        <v>18</v>
      </c>
    </row>
    <row r="777" ht="15.75" spans="1:8">
      <c r="A777" s="204">
        <v>1</v>
      </c>
      <c r="B777" s="205" t="s">
        <v>19</v>
      </c>
      <c r="C777" s="206">
        <f>D732</f>
        <v>39141</v>
      </c>
      <c r="D777" s="206">
        <v>39909</v>
      </c>
      <c r="E777" s="206">
        <f>D777-C777</f>
        <v>768</v>
      </c>
      <c r="F777" s="207">
        <f>SUM(E777:E778)</f>
        <v>1575</v>
      </c>
      <c r="G777" s="208">
        <v>12200</v>
      </c>
      <c r="H777" s="209">
        <f>F777*G777</f>
        <v>19215000</v>
      </c>
    </row>
    <row r="778" ht="15.75" spans="1:8">
      <c r="A778" s="210"/>
      <c r="B778" s="205" t="s">
        <v>20</v>
      </c>
      <c r="C778" s="206">
        <f>D733</f>
        <v>40671</v>
      </c>
      <c r="D778" s="206">
        <v>41478</v>
      </c>
      <c r="E778" s="206">
        <f>D778-C778</f>
        <v>807</v>
      </c>
      <c r="F778" s="207"/>
      <c r="G778" s="211"/>
      <c r="H778" s="209"/>
    </row>
    <row r="779" ht="15.75" spans="1:8">
      <c r="A779" s="210"/>
      <c r="B779" s="205" t="s">
        <v>21</v>
      </c>
      <c r="C779" s="206">
        <f>D734</f>
        <v>6860</v>
      </c>
      <c r="D779" s="206">
        <v>6860</v>
      </c>
      <c r="E779" s="206">
        <f>D779-C779</f>
        <v>0</v>
      </c>
      <c r="F779" s="207">
        <f>SUM(E779:E780)</f>
        <v>34</v>
      </c>
      <c r="G779" s="209">
        <v>14500</v>
      </c>
      <c r="H779" s="209">
        <f>G779*F779</f>
        <v>493000</v>
      </c>
    </row>
    <row r="780" ht="15.75" spans="1:8">
      <c r="A780" s="212"/>
      <c r="B780" s="205" t="s">
        <v>22</v>
      </c>
      <c r="C780" s="206">
        <f>D735</f>
        <v>7057</v>
      </c>
      <c r="D780" s="206">
        <v>7091</v>
      </c>
      <c r="E780" s="206">
        <f>D780-C780</f>
        <v>34</v>
      </c>
      <c r="F780" s="207"/>
      <c r="G780" s="209"/>
      <c r="H780" s="209"/>
    </row>
    <row r="781" ht="15.75" spans="1:8">
      <c r="A781" s="213"/>
      <c r="B781" s="213"/>
      <c r="C781" s="213"/>
      <c r="D781" s="213"/>
      <c r="E781" s="213"/>
      <c r="F781" s="213"/>
      <c r="G781" s="189" t="s">
        <v>23</v>
      </c>
      <c r="H781" s="214">
        <f>H777+H779</f>
        <v>19708000</v>
      </c>
    </row>
    <row r="782" spans="1:8">
      <c r="A782" s="213" t="s">
        <v>24</v>
      </c>
      <c r="B782" s="215">
        <f>H791</f>
        <v>19258000</v>
      </c>
      <c r="C782" s="213"/>
      <c r="D782" s="213"/>
      <c r="E782" s="213"/>
      <c r="F782" s="213"/>
      <c r="G782" s="196" t="s">
        <v>25</v>
      </c>
      <c r="H782" s="216">
        <v>19000000</v>
      </c>
    </row>
    <row r="783" ht="15.75" spans="1:8">
      <c r="A783" s="213" t="s">
        <v>26</v>
      </c>
      <c r="B783" s="217"/>
      <c r="C783" s="202"/>
      <c r="D783" s="213"/>
      <c r="E783" s="213"/>
      <c r="F783" s="213"/>
      <c r="G783" s="196" t="s">
        <v>27</v>
      </c>
      <c r="H783" s="218">
        <v>450000</v>
      </c>
    </row>
    <row r="784" ht="15.75" spans="1:8">
      <c r="A784" s="219" t="s">
        <v>18</v>
      </c>
      <c r="B784" s="215">
        <f>SUM(B782:B783)</f>
        <v>19258000</v>
      </c>
      <c r="C784" s="213"/>
      <c r="D784" s="213"/>
      <c r="E784" s="213"/>
      <c r="F784" s="213"/>
      <c r="G784" s="200" t="s">
        <v>28</v>
      </c>
      <c r="H784" s="220">
        <f>H781-H782-H783</f>
        <v>258000</v>
      </c>
    </row>
    <row r="785" ht="15.75" spans="1:8">
      <c r="A785" s="202"/>
      <c r="C785" s="202"/>
      <c r="D785" s="202"/>
      <c r="E785" s="202"/>
      <c r="F785" s="202"/>
      <c r="G785" s="202"/>
      <c r="H785" s="202"/>
    </row>
    <row r="786" ht="15.75" spans="1:8">
      <c r="A786" s="202"/>
      <c r="B786" s="202"/>
      <c r="C786" s="202"/>
      <c r="D786" s="202"/>
      <c r="E786" s="202"/>
      <c r="F786" s="202"/>
      <c r="G786" s="202"/>
      <c r="H786" s="202"/>
    </row>
    <row r="787" ht="15.75" spans="1:8">
      <c r="A787" s="221" t="s">
        <v>23</v>
      </c>
      <c r="B787" s="222"/>
      <c r="C787" s="202"/>
      <c r="D787" s="202"/>
      <c r="E787" s="202"/>
      <c r="F787" s="202"/>
      <c r="G787" s="202"/>
      <c r="H787" s="202"/>
    </row>
    <row r="788" ht="15.75" spans="1:8">
      <c r="A788" s="205" t="s">
        <v>29</v>
      </c>
      <c r="B788" s="223">
        <f>F777</f>
        <v>1575</v>
      </c>
      <c r="C788" s="202"/>
      <c r="D788" s="202"/>
      <c r="E788" s="202"/>
      <c r="F788" s="224" t="s">
        <v>30</v>
      </c>
      <c r="G788" s="224"/>
      <c r="H788" s="225">
        <f>H781</f>
        <v>19708000</v>
      </c>
    </row>
    <row r="789" ht="15.75" spans="1:8">
      <c r="A789" s="205" t="s">
        <v>31</v>
      </c>
      <c r="B789" s="223">
        <f>F779</f>
        <v>34</v>
      </c>
      <c r="C789" s="202"/>
      <c r="D789" s="202"/>
      <c r="E789" s="202"/>
      <c r="F789" s="224" t="s">
        <v>27</v>
      </c>
      <c r="G789" s="224"/>
      <c r="H789" s="225">
        <f>H783</f>
        <v>450000</v>
      </c>
    </row>
    <row r="790" ht="15.75" spans="1:8">
      <c r="A790" s="189"/>
      <c r="B790" s="226"/>
      <c r="C790" s="202"/>
      <c r="D790" s="202"/>
      <c r="E790" s="202"/>
      <c r="F790" s="224" t="s">
        <v>26</v>
      </c>
      <c r="G790" s="224"/>
      <c r="H790" s="227">
        <f>B783</f>
        <v>0</v>
      </c>
    </row>
    <row r="791" ht="15.75" spans="1:8">
      <c r="A791" s="228"/>
      <c r="B791" s="226"/>
      <c r="C791" s="202"/>
      <c r="D791" s="202"/>
      <c r="E791" s="202"/>
      <c r="F791" s="224" t="s">
        <v>28</v>
      </c>
      <c r="G791" s="224"/>
      <c r="H791" s="225">
        <f>H788-H789-H790</f>
        <v>19258000</v>
      </c>
    </row>
    <row r="793" ht="15.75" spans="1:8">
      <c r="A793" s="229"/>
      <c r="B793" s="230"/>
      <c r="C793" s="230"/>
      <c r="D793" s="230"/>
      <c r="E793" s="229"/>
      <c r="F793" s="231"/>
      <c r="G793" s="230"/>
      <c r="H793" s="230"/>
    </row>
    <row r="794" spans="1:8">
      <c r="A794" s="232"/>
      <c r="B794" s="233"/>
      <c r="C794" s="234"/>
      <c r="D794" s="234"/>
      <c r="E794" s="232"/>
      <c r="F794" s="233"/>
      <c r="G794" s="234"/>
      <c r="H794" s="234"/>
    </row>
    <row r="795" spans="1:8">
      <c r="A795" s="232"/>
      <c r="B795" s="233"/>
      <c r="C795" s="234"/>
      <c r="D795" s="234"/>
      <c r="E795" s="232"/>
      <c r="F795" s="233"/>
      <c r="G795" s="234"/>
      <c r="H795" s="234"/>
    </row>
    <row r="796" spans="1:8">
      <c r="A796" s="232"/>
      <c r="B796" s="233"/>
      <c r="C796" s="234"/>
      <c r="D796" s="234"/>
      <c r="E796" s="232"/>
      <c r="F796" s="233"/>
      <c r="G796" s="234"/>
      <c r="H796" s="234"/>
    </row>
    <row r="797" spans="1:8">
      <c r="A797" s="232"/>
      <c r="B797" s="233"/>
      <c r="C797" s="234"/>
      <c r="D797" s="234"/>
      <c r="E797" s="232"/>
      <c r="F797" s="233"/>
      <c r="G797" s="234"/>
      <c r="H797" s="234"/>
    </row>
    <row r="798" spans="1:8">
      <c r="A798" s="232"/>
      <c r="B798" s="233"/>
      <c r="C798" s="234"/>
      <c r="D798" s="234"/>
      <c r="E798" s="232"/>
      <c r="F798" s="233"/>
      <c r="G798" s="234"/>
      <c r="H798" s="234"/>
    </row>
    <row r="799" spans="1:8">
      <c r="A799" s="232"/>
      <c r="B799" s="233"/>
      <c r="C799" s="234"/>
      <c r="D799" s="234"/>
      <c r="E799" s="232"/>
      <c r="F799" s="233"/>
      <c r="G799" s="234"/>
      <c r="H799" s="234"/>
    </row>
    <row r="800" spans="1:8">
      <c r="A800" s="232"/>
      <c r="B800" s="233"/>
      <c r="C800" s="235"/>
      <c r="D800" s="235"/>
      <c r="E800" s="236"/>
      <c r="F800" s="236"/>
      <c r="G800" s="237"/>
      <c r="H800" s="237"/>
    </row>
    <row r="801" spans="1:8">
      <c r="A801" s="109"/>
      <c r="B801" s="109"/>
      <c r="C801" s="109"/>
      <c r="D801" s="109"/>
      <c r="E801" s="109"/>
      <c r="F801" s="109"/>
      <c r="G801" s="109"/>
      <c r="H801" s="109"/>
    </row>
    <row r="811" ht="18" spans="1:8">
      <c r="A811" s="109"/>
      <c r="B811" s="109"/>
      <c r="C811" s="184" t="s">
        <v>0</v>
      </c>
      <c r="D811" s="184"/>
      <c r="E811" s="184"/>
      <c r="F811" s="184"/>
      <c r="G811" s="184"/>
      <c r="H811" s="184"/>
    </row>
    <row r="812" ht="18" spans="1:8">
      <c r="A812" s="185"/>
      <c r="B812" s="185"/>
      <c r="C812" s="186" t="s">
        <v>1</v>
      </c>
      <c r="D812" s="186"/>
      <c r="E812" s="186"/>
      <c r="F812" s="186"/>
      <c r="G812" s="186"/>
      <c r="H812" s="186"/>
    </row>
    <row r="813" ht="18" spans="1:8">
      <c r="A813" s="187"/>
      <c r="B813" s="187"/>
      <c r="C813" s="188" t="s">
        <v>2</v>
      </c>
      <c r="D813" s="188"/>
      <c r="E813" s="188"/>
      <c r="F813" s="188"/>
      <c r="G813" s="188"/>
      <c r="H813" s="188"/>
    </row>
    <row r="814" ht="15.75" spans="1:8">
      <c r="A814" s="187"/>
      <c r="B814" s="189"/>
      <c r="C814" s="190"/>
      <c r="D814" s="190"/>
      <c r="E814" s="190"/>
      <c r="F814" s="191"/>
      <c r="G814" s="192"/>
      <c r="H814" s="192"/>
    </row>
    <row r="815" ht="15.75" spans="1:8">
      <c r="A815" s="187"/>
      <c r="B815" s="189"/>
      <c r="C815" s="190"/>
      <c r="D815" s="190"/>
      <c r="E815" s="190"/>
      <c r="F815" s="193"/>
      <c r="G815" s="194"/>
      <c r="H815" s="195"/>
    </row>
    <row r="816" ht="15.75" spans="1:8">
      <c r="A816" s="196" t="s">
        <v>3</v>
      </c>
      <c r="B816" s="196" t="s">
        <v>53</v>
      </c>
      <c r="C816" s="196"/>
      <c r="D816" s="196"/>
      <c r="E816" s="196"/>
      <c r="F816" s="196" t="s">
        <v>5</v>
      </c>
      <c r="G816" s="197">
        <v>0.208333333333333</v>
      </c>
      <c r="H816" s="198"/>
    </row>
    <row r="817" spans="1:8">
      <c r="A817" s="196" t="s">
        <v>6</v>
      </c>
      <c r="B817" s="195" t="s">
        <v>7</v>
      </c>
      <c r="C817" s="196"/>
      <c r="D817" s="196"/>
      <c r="E817" s="196"/>
      <c r="F817" s="196" t="s">
        <v>8</v>
      </c>
      <c r="G817" s="199">
        <v>0.875</v>
      </c>
      <c r="H817" s="195"/>
    </row>
    <row r="818" spans="1:8">
      <c r="A818" s="196" t="s">
        <v>9</v>
      </c>
      <c r="B818" s="195" t="s">
        <v>33</v>
      </c>
      <c r="C818" s="196"/>
      <c r="D818" s="196"/>
      <c r="E818" s="196"/>
      <c r="F818" s="196"/>
      <c r="G818" s="196"/>
      <c r="H818" s="195"/>
    </row>
    <row r="819" ht="15.75" spans="1:8">
      <c r="A819" s="189"/>
      <c r="B819" s="195"/>
      <c r="C819" s="196"/>
      <c r="D819" s="196"/>
      <c r="E819" s="196"/>
      <c r="F819" s="196"/>
      <c r="G819" s="200"/>
      <c r="H819" s="201"/>
    </row>
    <row r="820" ht="15.75" spans="1:8">
      <c r="A820" s="202"/>
      <c r="B820" s="202"/>
      <c r="C820" s="202"/>
      <c r="D820" s="202"/>
      <c r="E820" s="202"/>
      <c r="F820" s="202"/>
      <c r="G820" s="202"/>
      <c r="H820" s="202"/>
    </row>
    <row r="821" ht="15.75" spans="1:8">
      <c r="A821" s="203" t="s">
        <v>11</v>
      </c>
      <c r="B821" s="203" t="s">
        <v>12</v>
      </c>
      <c r="C821" s="203" t="s">
        <v>13</v>
      </c>
      <c r="D821" s="203" t="s">
        <v>14</v>
      </c>
      <c r="E821" s="203" t="s">
        <v>15</v>
      </c>
      <c r="F821" s="203" t="s">
        <v>16</v>
      </c>
      <c r="G821" s="203" t="s">
        <v>17</v>
      </c>
      <c r="H821" s="203" t="s">
        <v>18</v>
      </c>
    </row>
    <row r="822" ht="15.75" spans="1:8">
      <c r="A822" s="204">
        <v>1</v>
      </c>
      <c r="B822" s="205" t="s">
        <v>19</v>
      </c>
      <c r="C822" s="206">
        <f>D777</f>
        <v>39909</v>
      </c>
      <c r="D822" s="206">
        <v>40558</v>
      </c>
      <c r="E822" s="206">
        <f>D822-C822</f>
        <v>649</v>
      </c>
      <c r="F822" s="207">
        <f>SUM(E822:E823)</f>
        <v>1438</v>
      </c>
      <c r="G822" s="208">
        <v>12200</v>
      </c>
      <c r="H822" s="209">
        <f>F822*G822</f>
        <v>17543600</v>
      </c>
    </row>
    <row r="823" ht="15.75" spans="1:8">
      <c r="A823" s="210"/>
      <c r="B823" s="205" t="s">
        <v>20</v>
      </c>
      <c r="C823" s="206">
        <f>D778</f>
        <v>41478</v>
      </c>
      <c r="D823" s="206">
        <v>42267</v>
      </c>
      <c r="E823" s="206">
        <f>D823-C823</f>
        <v>789</v>
      </c>
      <c r="F823" s="207"/>
      <c r="G823" s="211"/>
      <c r="H823" s="209"/>
    </row>
    <row r="824" ht="15.75" spans="1:8">
      <c r="A824" s="210"/>
      <c r="B824" s="205" t="s">
        <v>21</v>
      </c>
      <c r="C824" s="206">
        <f>D779</f>
        <v>6860</v>
      </c>
      <c r="D824" s="206">
        <v>6864</v>
      </c>
      <c r="E824" s="206">
        <f>D824-C824</f>
        <v>4</v>
      </c>
      <c r="F824" s="207">
        <f>SUM(E824:E825)</f>
        <v>4</v>
      </c>
      <c r="G824" s="209">
        <v>14500</v>
      </c>
      <c r="H824" s="209">
        <f>G824*F824</f>
        <v>58000</v>
      </c>
    </row>
    <row r="825" ht="15.75" spans="1:8">
      <c r="A825" s="212"/>
      <c r="B825" s="205" t="s">
        <v>22</v>
      </c>
      <c r="C825" s="206">
        <f>D780</f>
        <v>7091</v>
      </c>
      <c r="D825" s="206">
        <v>7091</v>
      </c>
      <c r="E825" s="206">
        <f>D825-C825</f>
        <v>0</v>
      </c>
      <c r="F825" s="207"/>
      <c r="G825" s="209"/>
      <c r="H825" s="209"/>
    </row>
    <row r="826" ht="15.75" spans="1:8">
      <c r="A826" s="213"/>
      <c r="B826" s="213"/>
      <c r="C826" s="213"/>
      <c r="D826" s="213"/>
      <c r="E826" s="213"/>
      <c r="F826" s="213"/>
      <c r="G826" s="189" t="s">
        <v>23</v>
      </c>
      <c r="H826" s="214">
        <f>H822+H824</f>
        <v>17601600</v>
      </c>
    </row>
    <row r="827" spans="1:8">
      <c r="A827" s="213" t="s">
        <v>24</v>
      </c>
      <c r="B827" s="215">
        <f>H836</f>
        <v>17197630</v>
      </c>
      <c r="C827" s="213"/>
      <c r="D827" s="213"/>
      <c r="E827" s="213"/>
      <c r="F827" s="213"/>
      <c r="G827" s="196" t="s">
        <v>25</v>
      </c>
      <c r="H827" s="216">
        <v>16000000</v>
      </c>
    </row>
    <row r="828" ht="15.75" spans="1:8">
      <c r="A828" s="213" t="s">
        <v>26</v>
      </c>
      <c r="B828" s="217"/>
      <c r="C828" s="202"/>
      <c r="D828" s="213"/>
      <c r="E828" s="213"/>
      <c r="F828" s="213"/>
      <c r="G828" s="196" t="s">
        <v>27</v>
      </c>
      <c r="H828" s="218">
        <v>403970</v>
      </c>
    </row>
    <row r="829" ht="15.75" spans="1:8">
      <c r="A829" s="219" t="s">
        <v>18</v>
      </c>
      <c r="B829" s="215">
        <f>SUM(B827:B828)</f>
        <v>17197630</v>
      </c>
      <c r="C829" s="213"/>
      <c r="D829" s="213"/>
      <c r="E829" s="213"/>
      <c r="F829" s="213"/>
      <c r="G829" s="200" t="s">
        <v>28</v>
      </c>
      <c r="H829" s="220">
        <f>H826-H827-H828</f>
        <v>1197630</v>
      </c>
    </row>
    <row r="830" ht="15.75" spans="1:8">
      <c r="A830" s="202"/>
      <c r="C830" s="202"/>
      <c r="D830" s="202"/>
      <c r="E830" s="202"/>
      <c r="F830" s="202"/>
      <c r="G830" s="202"/>
      <c r="H830" s="202"/>
    </row>
    <row r="831" ht="15.75" spans="1:8">
      <c r="A831" s="202"/>
      <c r="B831" s="202"/>
      <c r="C831" s="202"/>
      <c r="D831" s="202"/>
      <c r="E831" s="202"/>
      <c r="F831" s="202"/>
      <c r="G831" s="202"/>
      <c r="H831" s="202"/>
    </row>
    <row r="832" ht="15.75" spans="1:8">
      <c r="A832" s="221" t="s">
        <v>23</v>
      </c>
      <c r="B832" s="222"/>
      <c r="C832" s="202"/>
      <c r="D832" s="202"/>
      <c r="E832" s="202"/>
      <c r="F832" s="202"/>
      <c r="G832" s="202"/>
      <c r="H832" s="202"/>
    </row>
    <row r="833" ht="15.75" spans="1:8">
      <c r="A833" s="205" t="s">
        <v>29</v>
      </c>
      <c r="B833" s="223">
        <f>F822</f>
        <v>1438</v>
      </c>
      <c r="C833" s="202"/>
      <c r="D833" s="202"/>
      <c r="E833" s="202"/>
      <c r="F833" s="224" t="s">
        <v>30</v>
      </c>
      <c r="G833" s="224"/>
      <c r="H833" s="225">
        <f>H826</f>
        <v>17601600</v>
      </c>
    </row>
    <row r="834" ht="15.75" spans="1:8">
      <c r="A834" s="205" t="s">
        <v>31</v>
      </c>
      <c r="B834" s="223">
        <f>F824</f>
        <v>4</v>
      </c>
      <c r="C834" s="202"/>
      <c r="D834" s="202"/>
      <c r="E834" s="202"/>
      <c r="F834" s="224" t="s">
        <v>27</v>
      </c>
      <c r="G834" s="224"/>
      <c r="H834" s="225">
        <f>H828</f>
        <v>403970</v>
      </c>
    </row>
    <row r="835" ht="15.75" spans="1:8">
      <c r="A835" s="189"/>
      <c r="B835" s="226"/>
      <c r="C835" s="202"/>
      <c r="D835" s="202"/>
      <c r="E835" s="202"/>
      <c r="F835" s="224" t="s">
        <v>26</v>
      </c>
      <c r="G835" s="224"/>
      <c r="H835" s="227">
        <f>B828</f>
        <v>0</v>
      </c>
    </row>
    <row r="836" ht="15.75" spans="1:8">
      <c r="A836" s="228"/>
      <c r="B836" s="226"/>
      <c r="C836" s="202"/>
      <c r="D836" s="202"/>
      <c r="E836" s="202"/>
      <c r="F836" s="224" t="s">
        <v>28</v>
      </c>
      <c r="G836" s="224"/>
      <c r="H836" s="225">
        <f>H833-H834-H835</f>
        <v>17197630</v>
      </c>
    </row>
    <row r="838" ht="15.75" spans="1:8">
      <c r="A838" s="229"/>
      <c r="B838" s="230"/>
      <c r="C838" s="231"/>
      <c r="D838" s="231"/>
      <c r="E838" s="229"/>
      <c r="F838" s="231"/>
      <c r="G838" s="230"/>
      <c r="H838" s="230"/>
    </row>
    <row r="839" spans="1:8">
      <c r="A839" s="232"/>
      <c r="B839" s="233"/>
      <c r="C839" s="238"/>
      <c r="D839" s="238"/>
      <c r="E839" s="232"/>
      <c r="F839" s="233"/>
      <c r="G839" s="234"/>
      <c r="H839" s="234"/>
    </row>
    <row r="840" spans="1:8">
      <c r="A840" s="232"/>
      <c r="B840" s="233"/>
      <c r="C840" s="238"/>
      <c r="D840" s="238"/>
      <c r="E840" s="232"/>
      <c r="F840" s="233"/>
      <c r="G840" s="234"/>
      <c r="H840" s="234"/>
    </row>
    <row r="841" spans="1:8">
      <c r="A841" s="232"/>
      <c r="B841" s="233"/>
      <c r="C841" s="238"/>
      <c r="D841" s="238"/>
      <c r="E841" s="232"/>
      <c r="F841" s="233"/>
      <c r="G841" s="234"/>
      <c r="H841" s="234"/>
    </row>
    <row r="842" spans="1:8">
      <c r="A842" s="232"/>
      <c r="B842" s="233"/>
      <c r="C842" s="238"/>
      <c r="D842" s="238"/>
      <c r="E842" s="232"/>
      <c r="F842" s="233"/>
      <c r="G842" s="234"/>
      <c r="H842" s="234"/>
    </row>
    <row r="843" spans="1:8">
      <c r="A843" s="232"/>
      <c r="B843" s="233"/>
      <c r="C843" s="238"/>
      <c r="D843" s="238"/>
      <c r="E843" s="232"/>
      <c r="F843" s="233"/>
      <c r="G843" s="234"/>
      <c r="H843" s="234"/>
    </row>
    <row r="844" spans="1:8">
      <c r="A844" s="232"/>
      <c r="B844" s="233"/>
      <c r="C844" s="238"/>
      <c r="D844" s="238"/>
      <c r="E844" s="232"/>
      <c r="F844" s="233"/>
      <c r="G844" s="234"/>
      <c r="H844" s="234"/>
    </row>
    <row r="845" spans="1:8">
      <c r="A845" s="232"/>
      <c r="B845" s="233"/>
      <c r="C845" s="240"/>
      <c r="D845" s="240"/>
      <c r="E845" s="236"/>
      <c r="F845" s="236"/>
      <c r="G845" s="237"/>
      <c r="H845" s="237"/>
    </row>
    <row r="846" spans="1:8">
      <c r="A846" s="109"/>
      <c r="B846" s="109"/>
      <c r="C846" s="109"/>
      <c r="D846" s="109"/>
      <c r="E846" s="109"/>
      <c r="F846" s="109"/>
      <c r="G846" s="109"/>
      <c r="H846" s="109"/>
    </row>
    <row r="856" ht="18" spans="1:8">
      <c r="A856" s="109"/>
      <c r="B856" s="109"/>
      <c r="C856" s="184" t="s">
        <v>0</v>
      </c>
      <c r="D856" s="184"/>
      <c r="E856" s="184"/>
      <c r="F856" s="184"/>
      <c r="G856" s="184"/>
      <c r="H856" s="184"/>
    </row>
    <row r="857" ht="18" spans="1:8">
      <c r="A857" s="185"/>
      <c r="B857" s="185"/>
      <c r="C857" s="186" t="s">
        <v>1</v>
      </c>
      <c r="D857" s="186"/>
      <c r="E857" s="186"/>
      <c r="F857" s="186"/>
      <c r="G857" s="186"/>
      <c r="H857" s="186"/>
    </row>
    <row r="858" ht="18" spans="1:8">
      <c r="A858" s="187"/>
      <c r="B858" s="187"/>
      <c r="C858" s="188" t="s">
        <v>2</v>
      </c>
      <c r="D858" s="188"/>
      <c r="E858" s="188"/>
      <c r="F858" s="188"/>
      <c r="G858" s="188"/>
      <c r="H858" s="188"/>
    </row>
    <row r="859" ht="15.75" spans="1:8">
      <c r="A859" s="187"/>
      <c r="B859" s="189"/>
      <c r="C859" s="190"/>
      <c r="D859" s="190"/>
      <c r="E859" s="190"/>
      <c r="F859" s="191"/>
      <c r="G859" s="192"/>
      <c r="H859" s="192"/>
    </row>
    <row r="860" ht="15.75" spans="1:8">
      <c r="A860" s="187"/>
      <c r="B860" s="189"/>
      <c r="C860" s="190"/>
      <c r="D860" s="190"/>
      <c r="E860" s="190"/>
      <c r="F860" s="193"/>
      <c r="G860" s="194"/>
      <c r="H860" s="195"/>
    </row>
    <row r="861" ht="15.75" spans="1:8">
      <c r="A861" s="196" t="s">
        <v>3</v>
      </c>
      <c r="B861" s="196" t="s">
        <v>54</v>
      </c>
      <c r="C861" s="196"/>
      <c r="D861" s="196"/>
      <c r="E861" s="196"/>
      <c r="F861" s="196" t="s">
        <v>5</v>
      </c>
      <c r="G861" s="189"/>
      <c r="H861" s="198"/>
    </row>
    <row r="862" spans="1:8">
      <c r="A862" s="196" t="s">
        <v>6</v>
      </c>
      <c r="B862" s="195" t="s">
        <v>10</v>
      </c>
      <c r="C862" s="196"/>
      <c r="D862" s="196"/>
      <c r="E862" s="196"/>
      <c r="F862" s="196" t="s">
        <v>8</v>
      </c>
      <c r="G862" s="196"/>
      <c r="H862" s="195"/>
    </row>
    <row r="863" spans="1:8">
      <c r="A863" s="196" t="s">
        <v>9</v>
      </c>
      <c r="B863" s="195" t="s">
        <v>33</v>
      </c>
      <c r="C863" s="196"/>
      <c r="D863" s="196"/>
      <c r="E863" s="196"/>
      <c r="F863" s="196"/>
      <c r="G863" s="196"/>
      <c r="H863" s="195"/>
    </row>
    <row r="864" ht="15.75" spans="1:8">
      <c r="A864" s="189"/>
      <c r="B864" s="195" t="s">
        <v>7</v>
      </c>
      <c r="C864" s="196"/>
      <c r="D864" s="196"/>
      <c r="E864" s="196"/>
      <c r="F864" s="196"/>
      <c r="G864" s="200"/>
      <c r="H864" s="201"/>
    </row>
    <row r="865" ht="15.75" spans="1:8">
      <c r="A865" s="202"/>
      <c r="B865" s="202"/>
      <c r="C865" s="202"/>
      <c r="D865" s="202"/>
      <c r="E865" s="202"/>
      <c r="F865" s="202"/>
      <c r="G865" s="202"/>
      <c r="H865" s="202"/>
    </row>
    <row r="866" ht="15.75" spans="1:8">
      <c r="A866" s="203" t="s">
        <v>11</v>
      </c>
      <c r="B866" s="203" t="s">
        <v>12</v>
      </c>
      <c r="C866" s="203" t="s">
        <v>13</v>
      </c>
      <c r="D866" s="203" t="s">
        <v>14</v>
      </c>
      <c r="E866" s="203" t="s">
        <v>15</v>
      </c>
      <c r="F866" s="203" t="s">
        <v>16</v>
      </c>
      <c r="G866" s="203" t="s">
        <v>17</v>
      </c>
      <c r="H866" s="203" t="s">
        <v>18</v>
      </c>
    </row>
    <row r="867" ht="15.75" spans="1:8">
      <c r="A867" s="204">
        <v>1</v>
      </c>
      <c r="B867" s="205" t="s">
        <v>19</v>
      </c>
      <c r="C867" s="206">
        <f>D822</f>
        <v>40558</v>
      </c>
      <c r="D867" s="206">
        <v>41422</v>
      </c>
      <c r="E867" s="206">
        <f>D867-C867</f>
        <v>864</v>
      </c>
      <c r="F867" s="207">
        <f>SUM(E867:E868)</f>
        <v>1900</v>
      </c>
      <c r="G867" s="208">
        <v>12200</v>
      </c>
      <c r="H867" s="209">
        <f>F867*G867</f>
        <v>23180000</v>
      </c>
    </row>
    <row r="868" ht="15.75" spans="1:8">
      <c r="A868" s="210"/>
      <c r="B868" s="205" t="s">
        <v>20</v>
      </c>
      <c r="C868" s="206">
        <f>D823</f>
        <v>42267</v>
      </c>
      <c r="D868" s="206">
        <v>43303</v>
      </c>
      <c r="E868" s="206">
        <f>D868-C868</f>
        <v>1036</v>
      </c>
      <c r="F868" s="207"/>
      <c r="G868" s="211"/>
      <c r="H868" s="209"/>
    </row>
    <row r="869" ht="15.75" spans="1:8">
      <c r="A869" s="210"/>
      <c r="B869" s="205" t="s">
        <v>21</v>
      </c>
      <c r="C869" s="206">
        <f>D824</f>
        <v>6864</v>
      </c>
      <c r="D869" s="206">
        <v>6864</v>
      </c>
      <c r="E869" s="206">
        <f>D869-C869</f>
        <v>0</v>
      </c>
      <c r="F869" s="207">
        <f>SUM(E869:E870)</f>
        <v>0</v>
      </c>
      <c r="G869" s="209">
        <v>14500</v>
      </c>
      <c r="H869" s="209">
        <f>G869*F869</f>
        <v>0</v>
      </c>
    </row>
    <row r="870" ht="15.75" spans="1:8">
      <c r="A870" s="212"/>
      <c r="B870" s="205" t="s">
        <v>22</v>
      </c>
      <c r="C870" s="206">
        <f>D825</f>
        <v>7091</v>
      </c>
      <c r="D870" s="206">
        <v>7091</v>
      </c>
      <c r="E870" s="206">
        <f>D870-C870</f>
        <v>0</v>
      </c>
      <c r="F870" s="207"/>
      <c r="G870" s="209"/>
      <c r="H870" s="209"/>
    </row>
    <row r="871" ht="15.75" spans="1:8">
      <c r="A871" s="213"/>
      <c r="B871" s="213"/>
      <c r="C871" s="213"/>
      <c r="D871" s="213"/>
      <c r="E871" s="213"/>
      <c r="F871" s="213"/>
      <c r="G871" s="189" t="s">
        <v>23</v>
      </c>
      <c r="H871" s="214">
        <f>H867+H869</f>
        <v>23180000</v>
      </c>
    </row>
    <row r="872" spans="1:8">
      <c r="A872" s="213" t="s">
        <v>24</v>
      </c>
      <c r="B872" s="215">
        <f>H881</f>
        <v>22396000</v>
      </c>
      <c r="C872" s="213"/>
      <c r="D872" s="213"/>
      <c r="E872" s="213"/>
      <c r="F872" s="213"/>
      <c r="G872" s="196" t="s">
        <v>25</v>
      </c>
      <c r="H872" s="216">
        <v>20000000</v>
      </c>
    </row>
    <row r="873" ht="15.75" spans="1:8">
      <c r="A873" s="213" t="s">
        <v>26</v>
      </c>
      <c r="B873" s="217"/>
      <c r="C873" s="202"/>
      <c r="D873" s="213"/>
      <c r="E873" s="213"/>
      <c r="F873" s="213"/>
      <c r="G873" s="196" t="s">
        <v>27</v>
      </c>
      <c r="H873" s="218">
        <v>784000</v>
      </c>
    </row>
    <row r="874" ht="15.75" spans="1:8">
      <c r="A874" s="219" t="s">
        <v>18</v>
      </c>
      <c r="B874" s="215">
        <f>SUM(B872:B873)</f>
        <v>22396000</v>
      </c>
      <c r="C874" s="213"/>
      <c r="D874" s="213"/>
      <c r="E874" s="213"/>
      <c r="F874" s="213"/>
      <c r="G874" s="200" t="s">
        <v>28</v>
      </c>
      <c r="H874" s="220">
        <f>H871-H872-H873</f>
        <v>2396000</v>
      </c>
    </row>
    <row r="875" ht="15.75" spans="1:8">
      <c r="A875" s="202"/>
      <c r="C875" s="202"/>
      <c r="D875" s="202"/>
      <c r="E875" s="202"/>
      <c r="F875" s="202"/>
      <c r="G875" s="202"/>
      <c r="H875" s="202"/>
    </row>
    <row r="876" ht="15.75" spans="1:8">
      <c r="A876" s="202"/>
      <c r="B876" s="202"/>
      <c r="C876" s="202"/>
      <c r="D876" s="202"/>
      <c r="E876" s="202"/>
      <c r="F876" s="202"/>
      <c r="G876" s="202"/>
      <c r="H876" s="202"/>
    </row>
    <row r="877" ht="15.75" spans="1:8">
      <c r="A877" s="221" t="s">
        <v>23</v>
      </c>
      <c r="B877" s="222"/>
      <c r="C877" s="202"/>
      <c r="D877" s="202"/>
      <c r="E877" s="202"/>
      <c r="F877" s="202"/>
      <c r="G877" s="202"/>
      <c r="H877" s="202"/>
    </row>
    <row r="878" ht="15.75" spans="1:8">
      <c r="A878" s="205" t="s">
        <v>29</v>
      </c>
      <c r="B878" s="223">
        <f>F867</f>
        <v>1900</v>
      </c>
      <c r="C878" s="202"/>
      <c r="D878" s="202"/>
      <c r="E878" s="202"/>
      <c r="F878" s="224" t="s">
        <v>30</v>
      </c>
      <c r="G878" s="224"/>
      <c r="H878" s="225">
        <f>H871</f>
        <v>23180000</v>
      </c>
    </row>
    <row r="879" ht="15.75" spans="1:8">
      <c r="A879" s="205" t="s">
        <v>31</v>
      </c>
      <c r="B879" s="223">
        <f>F869</f>
        <v>0</v>
      </c>
      <c r="C879" s="202"/>
      <c r="D879" s="202"/>
      <c r="E879" s="202"/>
      <c r="F879" s="224" t="s">
        <v>27</v>
      </c>
      <c r="G879" s="224"/>
      <c r="H879" s="225">
        <f>H873</f>
        <v>784000</v>
      </c>
    </row>
    <row r="880" ht="15.75" spans="1:8">
      <c r="A880" s="189"/>
      <c r="B880" s="226"/>
      <c r="C880" s="202"/>
      <c r="D880" s="202"/>
      <c r="E880" s="202"/>
      <c r="F880" s="224" t="s">
        <v>26</v>
      </c>
      <c r="G880" s="224"/>
      <c r="H880" s="227">
        <f>B873</f>
        <v>0</v>
      </c>
    </row>
    <row r="881" ht="15.75" spans="1:8">
      <c r="A881" s="228"/>
      <c r="B881" s="226"/>
      <c r="C881" s="202"/>
      <c r="D881" s="202"/>
      <c r="E881" s="202"/>
      <c r="F881" s="224" t="s">
        <v>28</v>
      </c>
      <c r="G881" s="224"/>
      <c r="H881" s="225">
        <f>H878-H879-H880</f>
        <v>22396000</v>
      </c>
    </row>
    <row r="883" ht="15.75" spans="1:8">
      <c r="A883" s="229"/>
      <c r="B883" s="230"/>
      <c r="C883" s="231"/>
      <c r="D883" s="231"/>
      <c r="E883" s="229"/>
      <c r="F883" s="231"/>
      <c r="G883" s="230"/>
      <c r="H883" s="230"/>
    </row>
    <row r="884" spans="1:8">
      <c r="A884" s="232"/>
      <c r="B884" s="233"/>
      <c r="C884" s="238"/>
      <c r="D884" s="238"/>
      <c r="E884" s="232"/>
      <c r="F884" s="233"/>
      <c r="G884" s="234"/>
      <c r="H884" s="234"/>
    </row>
    <row r="885" spans="1:8">
      <c r="A885" s="232"/>
      <c r="B885" s="233"/>
      <c r="C885" s="238"/>
      <c r="D885" s="238"/>
      <c r="E885" s="232"/>
      <c r="F885" s="233"/>
      <c r="G885" s="234"/>
      <c r="H885" s="234"/>
    </row>
    <row r="886" spans="1:8">
      <c r="A886" s="232"/>
      <c r="B886" s="233"/>
      <c r="C886" s="238"/>
      <c r="D886" s="238"/>
      <c r="E886" s="232"/>
      <c r="F886" s="233"/>
      <c r="G886" s="234"/>
      <c r="H886" s="234"/>
    </row>
    <row r="887" spans="1:8">
      <c r="A887" s="232"/>
      <c r="B887" s="233"/>
      <c r="C887" s="238"/>
      <c r="D887" s="238"/>
      <c r="E887" s="232"/>
      <c r="F887" s="233"/>
      <c r="G887" s="234"/>
      <c r="H887" s="234"/>
    </row>
    <row r="888" spans="1:8">
      <c r="A888" s="232"/>
      <c r="B888" s="233"/>
      <c r="C888" s="238"/>
      <c r="D888" s="238"/>
      <c r="E888" s="232"/>
      <c r="F888" s="233"/>
      <c r="G888" s="234"/>
      <c r="H888" s="234"/>
    </row>
    <row r="889" spans="1:8">
      <c r="A889" s="232"/>
      <c r="B889" s="233"/>
      <c r="C889" s="238"/>
      <c r="D889" s="238"/>
      <c r="E889" s="232"/>
      <c r="F889" s="233"/>
      <c r="G889" s="234"/>
      <c r="H889" s="234"/>
    </row>
    <row r="890" spans="1:8">
      <c r="A890" s="232"/>
      <c r="B890" s="233"/>
      <c r="C890" s="240"/>
      <c r="D890" s="240"/>
      <c r="E890" s="236"/>
      <c r="F890" s="236"/>
      <c r="G890" s="237"/>
      <c r="H890" s="237"/>
    </row>
    <row r="891" spans="1:8">
      <c r="A891" s="109"/>
      <c r="B891" s="109"/>
      <c r="C891" s="109"/>
      <c r="D891" s="109"/>
      <c r="E891" s="109"/>
      <c r="F891" s="109"/>
      <c r="G891" s="109"/>
      <c r="H891" s="109"/>
    </row>
    <row r="901" ht="18" spans="1:8">
      <c r="A901" s="109"/>
      <c r="B901" s="109"/>
      <c r="C901" s="184" t="s">
        <v>0</v>
      </c>
      <c r="D901" s="184"/>
      <c r="E901" s="184"/>
      <c r="F901" s="184"/>
      <c r="G901" s="184"/>
      <c r="H901" s="184"/>
    </row>
    <row r="902" ht="18" spans="1:8">
      <c r="A902" s="185"/>
      <c r="B902" s="185"/>
      <c r="C902" s="186" t="s">
        <v>1</v>
      </c>
      <c r="D902" s="186"/>
      <c r="E902" s="186"/>
      <c r="F902" s="186"/>
      <c r="G902" s="186"/>
      <c r="H902" s="186"/>
    </row>
    <row r="903" ht="18" spans="1:8">
      <c r="A903" s="187"/>
      <c r="B903" s="187"/>
      <c r="C903" s="188" t="s">
        <v>2</v>
      </c>
      <c r="D903" s="188"/>
      <c r="E903" s="188"/>
      <c r="F903" s="188"/>
      <c r="G903" s="188"/>
      <c r="H903" s="188"/>
    </row>
    <row r="904" ht="15.75" spans="1:8">
      <c r="A904" s="187"/>
      <c r="B904" s="189"/>
      <c r="C904" s="190"/>
      <c r="D904" s="190"/>
      <c r="E904" s="190"/>
      <c r="F904" s="191"/>
      <c r="G904" s="192"/>
      <c r="H904" s="192"/>
    </row>
    <row r="905" ht="15.75" spans="1:8">
      <c r="A905" s="187"/>
      <c r="B905" s="189"/>
      <c r="C905" s="190"/>
      <c r="D905" s="190"/>
      <c r="E905" s="190"/>
      <c r="F905" s="193"/>
      <c r="G905" s="194"/>
      <c r="H905" s="195"/>
    </row>
    <row r="906" ht="15.75" spans="1:8">
      <c r="A906" s="196" t="s">
        <v>3</v>
      </c>
      <c r="B906" s="196" t="s">
        <v>55</v>
      </c>
      <c r="C906" s="196"/>
      <c r="D906" s="196"/>
      <c r="E906" s="196"/>
      <c r="F906" s="196" t="s">
        <v>5</v>
      </c>
      <c r="G906" s="189"/>
      <c r="H906" s="198"/>
    </row>
    <row r="907" spans="1:8">
      <c r="A907" s="196" t="s">
        <v>6</v>
      </c>
      <c r="B907" s="195" t="s">
        <v>7</v>
      </c>
      <c r="C907" s="196"/>
      <c r="D907" s="196"/>
      <c r="E907" s="196"/>
      <c r="F907" s="196" t="s">
        <v>8</v>
      </c>
      <c r="G907" s="196"/>
      <c r="H907" s="195"/>
    </row>
    <row r="908" spans="1:8">
      <c r="A908" s="196" t="s">
        <v>9</v>
      </c>
      <c r="B908" s="195" t="s">
        <v>33</v>
      </c>
      <c r="C908" s="196"/>
      <c r="D908" s="196"/>
      <c r="E908" s="196"/>
      <c r="F908" s="196"/>
      <c r="G908" s="196"/>
      <c r="H908" s="195"/>
    </row>
    <row r="909" ht="15.75" spans="1:8">
      <c r="A909" s="189"/>
      <c r="B909" s="195" t="s">
        <v>10</v>
      </c>
      <c r="C909" s="196"/>
      <c r="D909" s="196"/>
      <c r="E909" s="196"/>
      <c r="F909" s="196"/>
      <c r="G909" s="200"/>
      <c r="H909" s="201"/>
    </row>
    <row r="910" ht="15.75" spans="1:8">
      <c r="A910" s="202"/>
      <c r="B910" s="202"/>
      <c r="C910" s="202"/>
      <c r="D910" s="202"/>
      <c r="E910" s="202"/>
      <c r="F910" s="202"/>
      <c r="G910" s="202"/>
      <c r="H910" s="202"/>
    </row>
    <row r="911" ht="15.75" spans="1:8">
      <c r="A911" s="203" t="s">
        <v>11</v>
      </c>
      <c r="B911" s="203" t="s">
        <v>12</v>
      </c>
      <c r="C911" s="203" t="s">
        <v>13</v>
      </c>
      <c r="D911" s="203" t="s">
        <v>14</v>
      </c>
      <c r="E911" s="203" t="s">
        <v>15</v>
      </c>
      <c r="F911" s="203" t="s">
        <v>16</v>
      </c>
      <c r="G911" s="203" t="s">
        <v>17</v>
      </c>
      <c r="H911" s="203" t="s">
        <v>18</v>
      </c>
    </row>
    <row r="912" ht="15.75" spans="1:8">
      <c r="A912" s="204">
        <v>1</v>
      </c>
      <c r="B912" s="205" t="s">
        <v>19</v>
      </c>
      <c r="C912" s="206">
        <f>D867</f>
        <v>41422</v>
      </c>
      <c r="D912" s="206">
        <v>41972</v>
      </c>
      <c r="E912" s="206">
        <f>D912-C912</f>
        <v>550</v>
      </c>
      <c r="F912" s="207">
        <f>SUM(E912:E913)</f>
        <v>1088</v>
      </c>
      <c r="G912" s="208">
        <v>12200</v>
      </c>
      <c r="H912" s="209">
        <f>F912*G912</f>
        <v>13273600</v>
      </c>
    </row>
    <row r="913" ht="15.75" spans="1:8">
      <c r="A913" s="210"/>
      <c r="B913" s="205" t="s">
        <v>20</v>
      </c>
      <c r="C913" s="206">
        <f>D868</f>
        <v>43303</v>
      </c>
      <c r="D913" s="206">
        <v>43841</v>
      </c>
      <c r="E913" s="206">
        <f>D913-C913</f>
        <v>538</v>
      </c>
      <c r="F913" s="207"/>
      <c r="G913" s="211"/>
      <c r="H913" s="209"/>
    </row>
    <row r="914" ht="15.75" spans="1:8">
      <c r="A914" s="210"/>
      <c r="B914" s="205" t="s">
        <v>21</v>
      </c>
      <c r="C914" s="206">
        <f>D869</f>
        <v>6864</v>
      </c>
      <c r="D914" s="206">
        <v>6864</v>
      </c>
      <c r="E914" s="206">
        <f>D914-C914</f>
        <v>0</v>
      </c>
      <c r="F914" s="207">
        <f>SUM(E914:E915)</f>
        <v>14</v>
      </c>
      <c r="G914" s="209">
        <v>14500</v>
      </c>
      <c r="H914" s="209">
        <f>G914*F914</f>
        <v>203000</v>
      </c>
    </row>
    <row r="915" ht="15.75" spans="1:8">
      <c r="A915" s="212"/>
      <c r="B915" s="205" t="s">
        <v>22</v>
      </c>
      <c r="C915" s="206">
        <f>D870</f>
        <v>7091</v>
      </c>
      <c r="D915" s="206">
        <v>7105</v>
      </c>
      <c r="E915" s="206">
        <f>D915-C915</f>
        <v>14</v>
      </c>
      <c r="F915" s="207"/>
      <c r="G915" s="209"/>
      <c r="H915" s="209"/>
    </row>
    <row r="916" ht="15.75" spans="1:8">
      <c r="A916" s="213"/>
      <c r="B916" s="213"/>
      <c r="C916" s="213"/>
      <c r="D916" s="213"/>
      <c r="E916" s="213"/>
      <c r="F916" s="213"/>
      <c r="G916" s="189" t="s">
        <v>23</v>
      </c>
      <c r="H916" s="214">
        <f>H912+H914</f>
        <v>13476600</v>
      </c>
    </row>
    <row r="917" spans="1:8">
      <c r="A917" s="213" t="s">
        <v>24</v>
      </c>
      <c r="B917" s="215">
        <f>H926</f>
        <v>12416176</v>
      </c>
      <c r="C917" s="213"/>
      <c r="D917" s="213"/>
      <c r="E917" s="213"/>
      <c r="F917" s="213"/>
      <c r="G917" s="196" t="s">
        <v>25</v>
      </c>
      <c r="H917" s="216">
        <v>11000000</v>
      </c>
    </row>
    <row r="918" ht="15.75" spans="1:8">
      <c r="A918" s="213" t="s">
        <v>26</v>
      </c>
      <c r="B918" s="217"/>
      <c r="C918" s="202"/>
      <c r="D918" s="213"/>
      <c r="E918" s="213"/>
      <c r="F918" s="213"/>
      <c r="G918" s="196" t="s">
        <v>27</v>
      </c>
      <c r="H918" s="218">
        <v>1060424</v>
      </c>
    </row>
    <row r="919" ht="15.75" spans="1:8">
      <c r="A919" s="219" t="s">
        <v>18</v>
      </c>
      <c r="B919" s="215">
        <f>SUM(B917:B918)</f>
        <v>12416176</v>
      </c>
      <c r="C919" s="213"/>
      <c r="D919" s="213"/>
      <c r="E919" s="213"/>
      <c r="F919" s="213"/>
      <c r="G919" s="200" t="s">
        <v>28</v>
      </c>
      <c r="H919" s="220">
        <f>H916-H917-H918</f>
        <v>1416176</v>
      </c>
    </row>
    <row r="920" ht="15.75" spans="1:8">
      <c r="A920" s="202"/>
      <c r="C920" s="202"/>
      <c r="D920" s="202"/>
      <c r="E920" s="202"/>
      <c r="F920" s="202"/>
      <c r="G920" s="202"/>
      <c r="H920" s="202"/>
    </row>
    <row r="921" ht="15.75" spans="1:8">
      <c r="A921" s="202"/>
      <c r="B921" s="202"/>
      <c r="C921" s="202"/>
      <c r="D921" s="202"/>
      <c r="E921" s="202"/>
      <c r="F921" s="202"/>
      <c r="G921" s="202"/>
      <c r="H921" s="202"/>
    </row>
    <row r="922" ht="15.75" spans="1:8">
      <c r="A922" s="221" t="s">
        <v>23</v>
      </c>
      <c r="B922" s="222"/>
      <c r="C922" s="202"/>
      <c r="D922" s="202"/>
      <c r="E922" s="202"/>
      <c r="F922" s="202"/>
      <c r="G922" s="202"/>
      <c r="H922" s="202"/>
    </row>
    <row r="923" ht="15.75" spans="1:8">
      <c r="A923" s="205" t="s">
        <v>29</v>
      </c>
      <c r="B923" s="223">
        <f>F912</f>
        <v>1088</v>
      </c>
      <c r="C923" s="202"/>
      <c r="D923" s="202"/>
      <c r="E923" s="202"/>
      <c r="F923" s="224" t="s">
        <v>30</v>
      </c>
      <c r="G923" s="224"/>
      <c r="H923" s="225">
        <f>H916</f>
        <v>13476600</v>
      </c>
    </row>
    <row r="924" ht="15.75" spans="1:8">
      <c r="A924" s="205" t="s">
        <v>31</v>
      </c>
      <c r="B924" s="223">
        <f>F914</f>
        <v>14</v>
      </c>
      <c r="C924" s="202"/>
      <c r="D924" s="202"/>
      <c r="E924" s="202"/>
      <c r="F924" s="224" t="s">
        <v>27</v>
      </c>
      <c r="G924" s="224"/>
      <c r="H924" s="225">
        <f>H918</f>
        <v>1060424</v>
      </c>
    </row>
    <row r="925" ht="15.75" spans="1:8">
      <c r="A925" s="189"/>
      <c r="B925" s="226"/>
      <c r="C925" s="202"/>
      <c r="D925" s="202"/>
      <c r="E925" s="202"/>
      <c r="F925" s="224" t="s">
        <v>26</v>
      </c>
      <c r="G925" s="224"/>
      <c r="H925" s="227">
        <f>B918</f>
        <v>0</v>
      </c>
    </row>
    <row r="926" ht="15.75" spans="1:8">
      <c r="A926" s="228"/>
      <c r="B926" s="226"/>
      <c r="C926" s="202"/>
      <c r="D926" s="202"/>
      <c r="E926" s="202"/>
      <c r="F926" s="224" t="s">
        <v>28</v>
      </c>
      <c r="G926" s="224"/>
      <c r="H926" s="225">
        <f>H923-H924-H925</f>
        <v>12416176</v>
      </c>
    </row>
    <row r="928" ht="15.75" spans="1:8">
      <c r="A928" s="229"/>
      <c r="B928" s="230"/>
      <c r="C928" s="231"/>
      <c r="D928" s="231"/>
      <c r="E928" s="229"/>
      <c r="F928" s="231"/>
      <c r="G928" s="230"/>
      <c r="H928" s="230"/>
    </row>
    <row r="929" spans="1:8">
      <c r="A929" s="232"/>
      <c r="B929" s="233"/>
      <c r="C929" s="238"/>
      <c r="D929" s="238"/>
      <c r="E929" s="232"/>
      <c r="F929" s="233"/>
      <c r="G929" s="234"/>
      <c r="H929" s="234"/>
    </row>
    <row r="930" spans="1:8">
      <c r="A930" s="232"/>
      <c r="B930" s="233"/>
      <c r="C930" s="238"/>
      <c r="D930" s="238"/>
      <c r="E930" s="232"/>
      <c r="F930" s="233"/>
      <c r="G930" s="234"/>
      <c r="H930" s="234"/>
    </row>
    <row r="931" spans="1:8">
      <c r="A931" s="232"/>
      <c r="B931" s="233"/>
      <c r="C931" s="238"/>
      <c r="D931" s="238"/>
      <c r="E931" s="232"/>
      <c r="F931" s="233"/>
      <c r="G931" s="234"/>
      <c r="H931" s="234"/>
    </row>
    <row r="932" spans="1:8">
      <c r="A932" s="232"/>
      <c r="B932" s="233"/>
      <c r="C932" s="238"/>
      <c r="D932" s="238"/>
      <c r="E932" s="232"/>
      <c r="F932" s="233"/>
      <c r="G932" s="234"/>
      <c r="H932" s="234"/>
    </row>
    <row r="933" spans="1:8">
      <c r="A933" s="232"/>
      <c r="B933" s="233"/>
      <c r="C933" s="238"/>
      <c r="D933" s="238"/>
      <c r="E933" s="232"/>
      <c r="F933" s="233"/>
      <c r="G933" s="234"/>
      <c r="H933" s="234"/>
    </row>
    <row r="934" spans="1:8">
      <c r="A934" s="232"/>
      <c r="B934" s="233"/>
      <c r="C934" s="238"/>
      <c r="D934" s="238"/>
      <c r="E934" s="232"/>
      <c r="F934" s="233"/>
      <c r="G934" s="234"/>
      <c r="H934" s="234"/>
    </row>
    <row r="935" spans="1:8">
      <c r="A935" s="232"/>
      <c r="B935" s="233"/>
      <c r="C935" s="235"/>
      <c r="D935" s="235"/>
      <c r="E935" s="236"/>
      <c r="F935" s="236"/>
      <c r="G935" s="237"/>
      <c r="H935" s="237"/>
    </row>
    <row r="936" spans="1:8">
      <c r="A936" s="109"/>
      <c r="B936" s="109"/>
      <c r="C936" s="109"/>
      <c r="D936" s="109"/>
      <c r="E936" s="109"/>
      <c r="F936" s="109"/>
      <c r="G936" s="109"/>
      <c r="H936" s="109"/>
    </row>
    <row r="946" ht="18" spans="1:8">
      <c r="A946" s="109"/>
      <c r="B946" s="109"/>
      <c r="C946" s="184" t="s">
        <v>0</v>
      </c>
      <c r="D946" s="184"/>
      <c r="E946" s="184"/>
      <c r="F946" s="184"/>
      <c r="G946" s="184"/>
      <c r="H946" s="184"/>
    </row>
    <row r="947" ht="18" spans="1:8">
      <c r="A947" s="185"/>
      <c r="B947" s="185"/>
      <c r="C947" s="186" t="s">
        <v>1</v>
      </c>
      <c r="D947" s="186"/>
      <c r="E947" s="186"/>
      <c r="F947" s="186"/>
      <c r="G947" s="186"/>
      <c r="H947" s="186"/>
    </row>
    <row r="948" ht="18" spans="1:8">
      <c r="A948" s="187"/>
      <c r="B948" s="187"/>
      <c r="C948" s="188" t="s">
        <v>2</v>
      </c>
      <c r="D948" s="188"/>
      <c r="E948" s="188"/>
      <c r="F948" s="188"/>
      <c r="G948" s="188"/>
      <c r="H948" s="188"/>
    </row>
    <row r="949" ht="15.75" spans="1:8">
      <c r="A949" s="187"/>
      <c r="B949" s="189"/>
      <c r="C949" s="190"/>
      <c r="D949" s="190"/>
      <c r="E949" s="190"/>
      <c r="F949" s="191"/>
      <c r="G949" s="192"/>
      <c r="H949" s="192"/>
    </row>
    <row r="950" ht="15.75" spans="1:8">
      <c r="A950" s="187"/>
      <c r="B950" s="189"/>
      <c r="C950" s="190"/>
      <c r="D950" s="190"/>
      <c r="E950" s="190"/>
      <c r="F950" s="193"/>
      <c r="G950" s="194"/>
      <c r="H950" s="195"/>
    </row>
    <row r="951" ht="15.75" spans="1:8">
      <c r="A951" s="196" t="s">
        <v>3</v>
      </c>
      <c r="B951" s="196" t="s">
        <v>56</v>
      </c>
      <c r="C951" s="196"/>
      <c r="D951" s="196"/>
      <c r="E951" s="196"/>
      <c r="F951" s="196" t="s">
        <v>5</v>
      </c>
      <c r="G951" s="197">
        <v>0.208333333333333</v>
      </c>
      <c r="H951" s="198"/>
    </row>
    <row r="952" spans="1:8">
      <c r="A952" s="196" t="s">
        <v>6</v>
      </c>
      <c r="B952" s="195" t="s">
        <v>10</v>
      </c>
      <c r="C952" s="196"/>
      <c r="D952" s="196"/>
      <c r="E952" s="196"/>
      <c r="F952" s="196" t="s">
        <v>8</v>
      </c>
      <c r="G952" s="199">
        <v>0.875</v>
      </c>
      <c r="H952" s="195"/>
    </row>
    <row r="953" spans="1:8">
      <c r="A953" s="196" t="s">
        <v>9</v>
      </c>
      <c r="B953" s="195" t="s">
        <v>33</v>
      </c>
      <c r="C953" s="196"/>
      <c r="D953" s="196"/>
      <c r="E953" s="196"/>
      <c r="F953" s="196"/>
      <c r="G953" s="196"/>
      <c r="H953" s="195"/>
    </row>
    <row r="954" ht="15.75" spans="1:8">
      <c r="A954" s="189"/>
      <c r="B954" s="195" t="s">
        <v>7</v>
      </c>
      <c r="C954" s="196"/>
      <c r="D954" s="196"/>
      <c r="E954" s="196"/>
      <c r="F954" s="196"/>
      <c r="G954" s="200"/>
      <c r="H954" s="201"/>
    </row>
    <row r="955" ht="15.75" spans="1:8">
      <c r="A955" s="202"/>
      <c r="B955" s="202"/>
      <c r="C955" s="202"/>
      <c r="D955" s="202"/>
      <c r="E955" s="202"/>
      <c r="F955" s="202"/>
      <c r="G955" s="202"/>
      <c r="H955" s="202"/>
    </row>
    <row r="956" ht="15.75" spans="1:8">
      <c r="A956" s="203" t="s">
        <v>11</v>
      </c>
      <c r="B956" s="203" t="s">
        <v>12</v>
      </c>
      <c r="C956" s="203" t="s">
        <v>13</v>
      </c>
      <c r="D956" s="203" t="s">
        <v>14</v>
      </c>
      <c r="E956" s="203" t="s">
        <v>15</v>
      </c>
      <c r="F956" s="203" t="s">
        <v>16</v>
      </c>
      <c r="G956" s="203" t="s">
        <v>17</v>
      </c>
      <c r="H956" s="203" t="s">
        <v>18</v>
      </c>
    </row>
    <row r="957" ht="15.75" spans="1:8">
      <c r="A957" s="204">
        <v>1</v>
      </c>
      <c r="B957" s="205" t="s">
        <v>19</v>
      </c>
      <c r="C957" s="206">
        <f>D912</f>
        <v>41972</v>
      </c>
      <c r="D957" s="206">
        <v>42460</v>
      </c>
      <c r="E957" s="206">
        <f>D957-C957</f>
        <v>488</v>
      </c>
      <c r="F957" s="207">
        <f>SUM(E957:E958)</f>
        <v>1141</v>
      </c>
      <c r="G957" s="208">
        <v>12200</v>
      </c>
      <c r="H957" s="209">
        <f>F957*G957</f>
        <v>13920200</v>
      </c>
    </row>
    <row r="958" ht="15.75" spans="1:8">
      <c r="A958" s="210"/>
      <c r="B958" s="205" t="s">
        <v>20</v>
      </c>
      <c r="C958" s="206">
        <f>D913</f>
        <v>43841</v>
      </c>
      <c r="D958" s="206">
        <v>44494</v>
      </c>
      <c r="E958" s="206">
        <f>D958-C958</f>
        <v>653</v>
      </c>
      <c r="F958" s="207"/>
      <c r="G958" s="211"/>
      <c r="H958" s="209"/>
    </row>
    <row r="959" ht="15.75" spans="1:8">
      <c r="A959" s="210"/>
      <c r="B959" s="205" t="s">
        <v>21</v>
      </c>
      <c r="C959" s="206">
        <f>D914</f>
        <v>6864</v>
      </c>
      <c r="D959" s="206">
        <v>6864</v>
      </c>
      <c r="E959" s="206">
        <f>D959-C959</f>
        <v>0</v>
      </c>
      <c r="F959" s="207">
        <f>SUM(E959:E960)</f>
        <v>66</v>
      </c>
      <c r="G959" s="209">
        <v>14500</v>
      </c>
      <c r="H959" s="209">
        <f>G959*F959</f>
        <v>957000</v>
      </c>
    </row>
    <row r="960" ht="15.75" spans="1:8">
      <c r="A960" s="212"/>
      <c r="B960" s="205" t="s">
        <v>22</v>
      </c>
      <c r="C960" s="206">
        <f>D915</f>
        <v>7105</v>
      </c>
      <c r="D960" s="206">
        <v>7171</v>
      </c>
      <c r="E960" s="206">
        <f>D960-C960</f>
        <v>66</v>
      </c>
      <c r="F960" s="207"/>
      <c r="G960" s="209"/>
      <c r="H960" s="209"/>
    </row>
    <row r="961" ht="15.75" spans="1:8">
      <c r="A961" s="213"/>
      <c r="B961" s="213"/>
      <c r="C961" s="213"/>
      <c r="D961" s="213"/>
      <c r="E961" s="213"/>
      <c r="F961" s="213"/>
      <c r="G961" s="189" t="s">
        <v>23</v>
      </c>
      <c r="H961" s="214">
        <f>H957+H959</f>
        <v>14877200</v>
      </c>
    </row>
    <row r="962" spans="1:8">
      <c r="A962" s="213" t="s">
        <v>24</v>
      </c>
      <c r="B962" s="215">
        <f>H971</f>
        <v>13737200</v>
      </c>
      <c r="C962" s="213"/>
      <c r="D962" s="213"/>
      <c r="E962" s="213"/>
      <c r="F962" s="213"/>
      <c r="G962" s="196" t="s">
        <v>25</v>
      </c>
      <c r="H962" s="216">
        <v>12000000</v>
      </c>
    </row>
    <row r="963" ht="15.75" spans="1:8">
      <c r="A963" s="213" t="s">
        <v>26</v>
      </c>
      <c r="B963" s="217"/>
      <c r="C963" s="202"/>
      <c r="D963" s="213"/>
      <c r="E963" s="213"/>
      <c r="F963" s="213"/>
      <c r="G963" s="196" t="s">
        <v>27</v>
      </c>
      <c r="H963" s="218">
        <v>1140000</v>
      </c>
    </row>
    <row r="964" ht="15.75" spans="1:8">
      <c r="A964" s="219" t="s">
        <v>18</v>
      </c>
      <c r="B964" s="215">
        <f>SUM(B962:B963)</f>
        <v>13737200</v>
      </c>
      <c r="C964" s="213"/>
      <c r="D964" s="213"/>
      <c r="E964" s="213"/>
      <c r="F964" s="213"/>
      <c r="G964" s="200" t="s">
        <v>28</v>
      </c>
      <c r="H964" s="220">
        <f>H961-H962-H963</f>
        <v>1737200</v>
      </c>
    </row>
    <row r="965" ht="15.75" spans="1:8">
      <c r="A965" s="202"/>
      <c r="C965" s="202"/>
      <c r="D965" s="202"/>
      <c r="E965" s="202"/>
      <c r="F965" s="202"/>
      <c r="G965" s="202"/>
      <c r="H965" s="202"/>
    </row>
    <row r="966" ht="15.75" spans="1:8">
      <c r="A966" s="202"/>
      <c r="B966" s="202"/>
      <c r="C966" s="202"/>
      <c r="D966" s="202"/>
      <c r="E966" s="202"/>
      <c r="F966" s="202"/>
      <c r="G966" s="202"/>
      <c r="H966" s="202"/>
    </row>
    <row r="967" ht="15.75" spans="1:8">
      <c r="A967" s="221" t="s">
        <v>23</v>
      </c>
      <c r="B967" s="222"/>
      <c r="C967" s="202"/>
      <c r="D967" s="202"/>
      <c r="E967" s="202"/>
      <c r="F967" s="202"/>
      <c r="G967" s="202"/>
      <c r="H967" s="202"/>
    </row>
    <row r="968" ht="15.75" spans="1:8">
      <c r="A968" s="205" t="s">
        <v>29</v>
      </c>
      <c r="B968" s="223">
        <f>F957</f>
        <v>1141</v>
      </c>
      <c r="C968" s="202"/>
      <c r="D968" s="202"/>
      <c r="E968" s="202"/>
      <c r="F968" s="224" t="s">
        <v>30</v>
      </c>
      <c r="G968" s="224"/>
      <c r="H968" s="225">
        <f>H961</f>
        <v>14877200</v>
      </c>
    </row>
    <row r="969" ht="15.75" spans="1:8">
      <c r="A969" s="205" t="s">
        <v>31</v>
      </c>
      <c r="B969" s="223">
        <f>F959</f>
        <v>66</v>
      </c>
      <c r="C969" s="202"/>
      <c r="D969" s="202"/>
      <c r="E969" s="202"/>
      <c r="F969" s="224" t="s">
        <v>27</v>
      </c>
      <c r="G969" s="224"/>
      <c r="H969" s="225">
        <f>H963</f>
        <v>1140000</v>
      </c>
    </row>
    <row r="970" ht="15.75" spans="1:8">
      <c r="A970" s="189"/>
      <c r="B970" s="226"/>
      <c r="C970" s="202"/>
      <c r="D970" s="202"/>
      <c r="E970" s="202"/>
      <c r="F970" s="224" t="s">
        <v>26</v>
      </c>
      <c r="G970" s="224"/>
      <c r="H970" s="227">
        <f>B963</f>
        <v>0</v>
      </c>
    </row>
    <row r="971" ht="15.75" spans="1:8">
      <c r="A971" s="228"/>
      <c r="B971" s="226"/>
      <c r="C971" s="202"/>
      <c r="D971" s="202"/>
      <c r="E971" s="202"/>
      <c r="F971" s="224" t="s">
        <v>28</v>
      </c>
      <c r="G971" s="224"/>
      <c r="H971" s="225">
        <f>H968-H969-H970</f>
        <v>13737200</v>
      </c>
    </row>
    <row r="973" ht="15.75" spans="1:8">
      <c r="A973" s="229"/>
      <c r="B973" s="230"/>
      <c r="C973" s="231"/>
      <c r="D973" s="231"/>
      <c r="E973" s="229"/>
      <c r="F973" s="231"/>
      <c r="G973" s="230"/>
      <c r="H973" s="230"/>
    </row>
    <row r="974" spans="1:8">
      <c r="A974" s="232"/>
      <c r="B974" s="233"/>
      <c r="C974" s="238"/>
      <c r="D974" s="238"/>
      <c r="E974" s="232"/>
      <c r="F974" s="233"/>
      <c r="G974" s="234"/>
      <c r="H974" s="234"/>
    </row>
    <row r="975" spans="1:8">
      <c r="A975" s="232"/>
      <c r="B975" s="233"/>
      <c r="C975" s="238"/>
      <c r="D975" s="238"/>
      <c r="E975" s="232"/>
      <c r="F975" s="233"/>
      <c r="G975" s="234"/>
      <c r="H975" s="234"/>
    </row>
    <row r="976" spans="1:8">
      <c r="A976" s="232"/>
      <c r="B976" s="233"/>
      <c r="C976" s="238"/>
      <c r="D976" s="238"/>
      <c r="E976" s="232"/>
      <c r="F976" s="233"/>
      <c r="G976" s="234"/>
      <c r="H976" s="234"/>
    </row>
    <row r="977" spans="1:8">
      <c r="A977" s="232"/>
      <c r="B977" s="233"/>
      <c r="C977" s="238"/>
      <c r="D977" s="238"/>
      <c r="E977" s="232"/>
      <c r="F977" s="233"/>
      <c r="G977" s="234"/>
      <c r="H977" s="234"/>
    </row>
    <row r="978" spans="1:8">
      <c r="A978" s="232"/>
      <c r="B978" s="233"/>
      <c r="C978" s="238"/>
      <c r="D978" s="238"/>
      <c r="E978" s="232"/>
      <c r="F978" s="233"/>
      <c r="G978" s="234"/>
      <c r="H978" s="234"/>
    </row>
    <row r="979" spans="1:8">
      <c r="A979" s="232"/>
      <c r="B979" s="233"/>
      <c r="C979" s="238"/>
      <c r="D979" s="238"/>
      <c r="E979" s="232"/>
      <c r="F979" s="233"/>
      <c r="G979" s="234"/>
      <c r="H979" s="234"/>
    </row>
    <row r="980" spans="1:8">
      <c r="A980" s="232"/>
      <c r="B980" s="233"/>
      <c r="C980" s="240"/>
      <c r="D980" s="240"/>
      <c r="E980" s="236"/>
      <c r="F980" s="236"/>
      <c r="G980" s="237"/>
      <c r="H980" s="237"/>
    </row>
    <row r="981" spans="1:8">
      <c r="A981" s="109"/>
      <c r="B981" s="109"/>
      <c r="C981" s="109"/>
      <c r="D981" s="109"/>
      <c r="E981" s="109"/>
      <c r="F981" s="109"/>
      <c r="G981" s="109"/>
      <c r="H981" s="109"/>
    </row>
    <row r="991" ht="18" spans="1:8">
      <c r="A991" s="109"/>
      <c r="B991" s="109"/>
      <c r="C991" s="184" t="s">
        <v>0</v>
      </c>
      <c r="D991" s="184"/>
      <c r="E991" s="184"/>
      <c r="F991" s="184"/>
      <c r="G991" s="184"/>
      <c r="H991" s="184"/>
    </row>
    <row r="992" ht="18" spans="1:8">
      <c r="A992" s="185"/>
      <c r="B992" s="185"/>
      <c r="C992" s="186" t="s">
        <v>1</v>
      </c>
      <c r="D992" s="186"/>
      <c r="E992" s="186"/>
      <c r="F992" s="186"/>
      <c r="G992" s="186"/>
      <c r="H992" s="186"/>
    </row>
    <row r="993" ht="18" spans="1:8">
      <c r="A993" s="187"/>
      <c r="B993" s="187"/>
      <c r="C993" s="188" t="s">
        <v>2</v>
      </c>
      <c r="D993" s="188"/>
      <c r="E993" s="188"/>
      <c r="F993" s="188"/>
      <c r="G993" s="188"/>
      <c r="H993" s="188"/>
    </row>
    <row r="994" ht="15.75" spans="1:8">
      <c r="A994" s="187"/>
      <c r="B994" s="189"/>
      <c r="C994" s="190"/>
      <c r="D994" s="190"/>
      <c r="E994" s="190"/>
      <c r="F994" s="191"/>
      <c r="G994" s="192"/>
      <c r="H994" s="192"/>
    </row>
    <row r="995" ht="15.75" spans="1:8">
      <c r="A995" s="187"/>
      <c r="B995" s="189"/>
      <c r="C995" s="190"/>
      <c r="D995" s="190"/>
      <c r="E995" s="190"/>
      <c r="F995" s="193"/>
      <c r="G995" s="194"/>
      <c r="H995" s="195"/>
    </row>
    <row r="996" ht="15.75" spans="1:8">
      <c r="A996" s="196" t="s">
        <v>3</v>
      </c>
      <c r="B996" s="196" t="s">
        <v>57</v>
      </c>
      <c r="C996" s="196"/>
      <c r="D996" s="196"/>
      <c r="E996" s="196"/>
      <c r="F996" s="196" t="s">
        <v>5</v>
      </c>
      <c r="G996" s="197">
        <v>0.208333333333333</v>
      </c>
      <c r="H996" s="198"/>
    </row>
    <row r="997" spans="1:8">
      <c r="A997" s="196" t="s">
        <v>6</v>
      </c>
      <c r="B997" s="195" t="s">
        <v>7</v>
      </c>
      <c r="C997" s="196"/>
      <c r="D997" s="196"/>
      <c r="E997" s="196"/>
      <c r="F997" s="196" t="s">
        <v>8</v>
      </c>
      <c r="G997" s="199">
        <v>0.875</v>
      </c>
      <c r="H997" s="195"/>
    </row>
    <row r="998" spans="1:8">
      <c r="A998" s="196" t="s">
        <v>9</v>
      </c>
      <c r="B998" s="195" t="s">
        <v>33</v>
      </c>
      <c r="C998" s="196"/>
      <c r="D998" s="196"/>
      <c r="E998" s="196"/>
      <c r="F998" s="196"/>
      <c r="G998" s="196"/>
      <c r="H998" s="195"/>
    </row>
    <row r="999" ht="15.75" spans="1:8">
      <c r="A999" s="189"/>
      <c r="B999" s="195" t="s">
        <v>10</v>
      </c>
      <c r="C999" s="196"/>
      <c r="D999" s="196"/>
      <c r="E999" s="196"/>
      <c r="F999" s="196"/>
      <c r="G999" s="200"/>
      <c r="H999" s="201"/>
    </row>
    <row r="1000" ht="15.75" spans="1:8">
      <c r="A1000" s="202"/>
      <c r="B1000" s="202"/>
      <c r="C1000" s="202"/>
      <c r="D1000" s="202"/>
      <c r="E1000" s="202"/>
      <c r="F1000" s="202"/>
      <c r="G1000" s="202"/>
      <c r="H1000" s="202"/>
    </row>
    <row r="1001" ht="15.75" spans="1:8">
      <c r="A1001" s="203" t="s">
        <v>11</v>
      </c>
      <c r="B1001" s="203" t="s">
        <v>12</v>
      </c>
      <c r="C1001" s="203" t="s">
        <v>13</v>
      </c>
      <c r="D1001" s="203" t="s">
        <v>14</v>
      </c>
      <c r="E1001" s="203" t="s">
        <v>15</v>
      </c>
      <c r="F1001" s="203" t="s">
        <v>16</v>
      </c>
      <c r="G1001" s="203" t="s">
        <v>17</v>
      </c>
      <c r="H1001" s="203" t="s">
        <v>18</v>
      </c>
    </row>
    <row r="1002" ht="15.75" spans="1:8">
      <c r="A1002" s="204">
        <v>1</v>
      </c>
      <c r="B1002" s="205" t="s">
        <v>19</v>
      </c>
      <c r="C1002" s="206">
        <f>D957</f>
        <v>42460</v>
      </c>
      <c r="D1002" s="206">
        <v>43093</v>
      </c>
      <c r="E1002" s="206">
        <f>D1002-C1002</f>
        <v>633</v>
      </c>
      <c r="F1002" s="207">
        <f>SUM(E1002:E1003)</f>
        <v>1250</v>
      </c>
      <c r="G1002" s="208">
        <v>12200</v>
      </c>
      <c r="H1002" s="209">
        <f>F1002*G1002</f>
        <v>15250000</v>
      </c>
    </row>
    <row r="1003" ht="15.75" spans="1:8">
      <c r="A1003" s="210"/>
      <c r="B1003" s="205" t="s">
        <v>20</v>
      </c>
      <c r="C1003" s="206">
        <f>D958</f>
        <v>44494</v>
      </c>
      <c r="D1003" s="206">
        <v>45111</v>
      </c>
      <c r="E1003" s="206">
        <f>D1003-C1003</f>
        <v>617</v>
      </c>
      <c r="F1003" s="207"/>
      <c r="G1003" s="211"/>
      <c r="H1003" s="209"/>
    </row>
    <row r="1004" ht="15.75" spans="1:8">
      <c r="A1004" s="210"/>
      <c r="B1004" s="205" t="s">
        <v>21</v>
      </c>
      <c r="C1004" s="206">
        <f>D959</f>
        <v>6864</v>
      </c>
      <c r="D1004" s="206">
        <v>6864</v>
      </c>
      <c r="E1004" s="206">
        <f>D1004-C1004</f>
        <v>0</v>
      </c>
      <c r="F1004" s="207">
        <f>SUM(E1004:E1005)</f>
        <v>38</v>
      </c>
      <c r="G1004" s="209">
        <v>14500</v>
      </c>
      <c r="H1004" s="209">
        <f>G1004*F1004</f>
        <v>551000</v>
      </c>
    </row>
    <row r="1005" ht="15.75" spans="1:8">
      <c r="A1005" s="212"/>
      <c r="B1005" s="205" t="s">
        <v>22</v>
      </c>
      <c r="C1005" s="206">
        <f>D960</f>
        <v>7171</v>
      </c>
      <c r="D1005" s="206">
        <v>7209</v>
      </c>
      <c r="E1005" s="206">
        <f>D1005-C1005</f>
        <v>38</v>
      </c>
      <c r="F1005" s="207"/>
      <c r="G1005" s="209"/>
      <c r="H1005" s="209"/>
    </row>
    <row r="1006" ht="15.75" spans="1:8">
      <c r="A1006" s="213"/>
      <c r="B1006" s="213"/>
      <c r="C1006" s="213"/>
      <c r="D1006" s="213"/>
      <c r="E1006" s="213"/>
      <c r="F1006" s="213"/>
      <c r="G1006" s="189" t="s">
        <v>23</v>
      </c>
      <c r="H1006" s="214">
        <f>H1002+H1004</f>
        <v>15801000</v>
      </c>
    </row>
    <row r="1007" spans="1:8">
      <c r="A1007" s="213" t="s">
        <v>24</v>
      </c>
      <c r="B1007" s="215">
        <f>H1016</f>
        <v>13958000</v>
      </c>
      <c r="C1007" s="213"/>
      <c r="D1007" s="213"/>
      <c r="E1007" s="213"/>
      <c r="F1007" s="213"/>
      <c r="G1007" s="196" t="s">
        <v>25</v>
      </c>
      <c r="H1007" s="216">
        <v>12000000</v>
      </c>
    </row>
    <row r="1008" ht="15.75" spans="1:8">
      <c r="A1008" s="213" t="s">
        <v>26</v>
      </c>
      <c r="B1008" s="217">
        <v>0</v>
      </c>
      <c r="C1008" s="202"/>
      <c r="D1008" s="213"/>
      <c r="E1008" s="213"/>
      <c r="F1008" s="213"/>
      <c r="G1008" s="196" t="s">
        <v>27</v>
      </c>
      <c r="H1008" s="218">
        <v>1843000</v>
      </c>
    </row>
    <row r="1009" ht="15.75" spans="1:8">
      <c r="A1009" s="219" t="s">
        <v>18</v>
      </c>
      <c r="B1009" s="215">
        <f>SUM(B1007:B1008)</f>
        <v>13958000</v>
      </c>
      <c r="C1009" s="213"/>
      <c r="D1009" s="213"/>
      <c r="E1009" s="213"/>
      <c r="F1009" s="213"/>
      <c r="G1009" s="200" t="s">
        <v>28</v>
      </c>
      <c r="H1009" s="220">
        <f>H1006-H1007-H1008</f>
        <v>1958000</v>
      </c>
    </row>
    <row r="1010" ht="15.75" spans="1:8">
      <c r="A1010" s="202"/>
      <c r="C1010" s="202"/>
      <c r="D1010" s="202"/>
      <c r="E1010" s="202"/>
      <c r="F1010" s="202"/>
      <c r="G1010" s="202"/>
      <c r="H1010" s="202"/>
    </row>
    <row r="1011" ht="15.75" spans="1:8">
      <c r="A1011" s="202"/>
      <c r="B1011" s="202"/>
      <c r="C1011" s="202"/>
      <c r="D1011" s="202"/>
      <c r="E1011" s="202"/>
      <c r="F1011" s="202"/>
      <c r="G1011" s="202"/>
      <c r="H1011" s="202"/>
    </row>
    <row r="1012" ht="15.75" spans="1:8">
      <c r="A1012" s="221" t="s">
        <v>23</v>
      </c>
      <c r="B1012" s="222"/>
      <c r="C1012" s="202"/>
      <c r="D1012" s="202"/>
      <c r="E1012" s="202"/>
      <c r="F1012" s="202"/>
      <c r="G1012" s="202"/>
      <c r="H1012" s="202"/>
    </row>
    <row r="1013" ht="15.75" spans="1:8">
      <c r="A1013" s="205" t="s">
        <v>29</v>
      </c>
      <c r="B1013" s="223">
        <f>F1002</f>
        <v>1250</v>
      </c>
      <c r="C1013" s="202"/>
      <c r="D1013" s="202"/>
      <c r="E1013" s="202"/>
      <c r="F1013" s="224" t="s">
        <v>30</v>
      </c>
      <c r="G1013" s="224"/>
      <c r="H1013" s="225">
        <f>H1006</f>
        <v>15801000</v>
      </c>
    </row>
    <row r="1014" ht="15.75" spans="1:8">
      <c r="A1014" s="205" t="s">
        <v>31</v>
      </c>
      <c r="B1014" s="223">
        <f>F1004</f>
        <v>38</v>
      </c>
      <c r="C1014" s="202"/>
      <c r="D1014" s="202"/>
      <c r="E1014" s="202"/>
      <c r="F1014" s="224" t="s">
        <v>27</v>
      </c>
      <c r="G1014" s="224"/>
      <c r="H1014" s="225">
        <f>H1008</f>
        <v>1843000</v>
      </c>
    </row>
    <row r="1015" ht="15.75" spans="1:8">
      <c r="A1015" s="189"/>
      <c r="B1015" s="226"/>
      <c r="C1015" s="202"/>
      <c r="D1015" s="202"/>
      <c r="E1015" s="202"/>
      <c r="F1015" s="224" t="s">
        <v>26</v>
      </c>
      <c r="G1015" s="224"/>
      <c r="H1015" s="227">
        <f>B1008</f>
        <v>0</v>
      </c>
    </row>
    <row r="1016" ht="15.75" spans="1:8">
      <c r="A1016" s="228"/>
      <c r="B1016" s="226"/>
      <c r="C1016" s="202"/>
      <c r="D1016" s="202"/>
      <c r="E1016" s="202"/>
      <c r="F1016" s="224" t="s">
        <v>28</v>
      </c>
      <c r="G1016" s="224"/>
      <c r="H1016" s="225">
        <f>H1013-H1014-H1015</f>
        <v>13958000</v>
      </c>
    </row>
    <row r="1018" ht="15.75" spans="1:8">
      <c r="A1018" s="229"/>
      <c r="B1018" s="230"/>
      <c r="C1018" s="230"/>
      <c r="D1018" s="230"/>
      <c r="E1018" s="229"/>
      <c r="F1018" s="231"/>
      <c r="G1018" s="230"/>
      <c r="H1018" s="230"/>
    </row>
    <row r="1019" spans="1:8">
      <c r="A1019" s="232"/>
      <c r="B1019" s="233"/>
      <c r="C1019" s="234"/>
      <c r="D1019" s="234"/>
      <c r="E1019" s="232"/>
      <c r="F1019" s="233"/>
      <c r="G1019" s="234"/>
      <c r="H1019" s="234"/>
    </row>
    <row r="1020" spans="1:8">
      <c r="A1020" s="232"/>
      <c r="B1020" s="233"/>
      <c r="C1020" s="234"/>
      <c r="D1020" s="234"/>
      <c r="E1020" s="232"/>
      <c r="F1020" s="233"/>
      <c r="G1020" s="234"/>
      <c r="H1020" s="234"/>
    </row>
    <row r="1021" spans="1:8">
      <c r="A1021" s="232"/>
      <c r="B1021" s="233"/>
      <c r="C1021" s="234"/>
      <c r="D1021" s="234"/>
      <c r="E1021" s="232"/>
      <c r="F1021" s="233"/>
      <c r="G1021" s="234"/>
      <c r="H1021" s="234"/>
    </row>
    <row r="1022" spans="1:8">
      <c r="A1022" s="232"/>
      <c r="B1022" s="233"/>
      <c r="C1022" s="234"/>
      <c r="D1022" s="234"/>
      <c r="E1022" s="232"/>
      <c r="F1022" s="233"/>
      <c r="G1022" s="234"/>
      <c r="H1022" s="234"/>
    </row>
    <row r="1023" spans="1:8">
      <c r="A1023" s="232"/>
      <c r="B1023" s="233"/>
      <c r="C1023" s="234"/>
      <c r="D1023" s="234"/>
      <c r="E1023" s="232"/>
      <c r="F1023" s="233"/>
      <c r="G1023" s="234"/>
      <c r="H1023" s="234"/>
    </row>
    <row r="1024" spans="1:8">
      <c r="A1024" s="232"/>
      <c r="B1024" s="233"/>
      <c r="C1024" s="234"/>
      <c r="D1024" s="234"/>
      <c r="E1024" s="232"/>
      <c r="F1024" s="233"/>
      <c r="G1024" s="234"/>
      <c r="H1024" s="234"/>
    </row>
    <row r="1025" spans="1:8">
      <c r="A1025" s="232"/>
      <c r="B1025" s="233"/>
      <c r="C1025" s="235"/>
      <c r="D1025" s="235"/>
      <c r="E1025" s="236"/>
      <c r="F1025" s="236"/>
      <c r="G1025" s="237"/>
      <c r="H1025" s="237"/>
    </row>
    <row r="1026" spans="1:8">
      <c r="A1026" s="109"/>
      <c r="B1026" s="109"/>
      <c r="C1026" s="109"/>
      <c r="D1026" s="109"/>
      <c r="E1026" s="109"/>
      <c r="F1026" s="109"/>
      <c r="G1026" s="109"/>
      <c r="H1026" s="109"/>
    </row>
    <row r="1036" ht="18" spans="1:8">
      <c r="A1036" s="109"/>
      <c r="B1036" s="109"/>
      <c r="C1036" s="184" t="s">
        <v>0</v>
      </c>
      <c r="D1036" s="184"/>
      <c r="E1036" s="184"/>
      <c r="F1036" s="184"/>
      <c r="G1036" s="184"/>
      <c r="H1036" s="184"/>
    </row>
    <row r="1037" ht="18" spans="1:8">
      <c r="A1037" s="185"/>
      <c r="B1037" s="185"/>
      <c r="C1037" s="186" t="s">
        <v>1</v>
      </c>
      <c r="D1037" s="186"/>
      <c r="E1037" s="186"/>
      <c r="F1037" s="186"/>
      <c r="G1037" s="186"/>
      <c r="H1037" s="186"/>
    </row>
    <row r="1038" ht="18" spans="1:8">
      <c r="A1038" s="187"/>
      <c r="B1038" s="187"/>
      <c r="C1038" s="188" t="s">
        <v>2</v>
      </c>
      <c r="D1038" s="188"/>
      <c r="E1038" s="188"/>
      <c r="F1038" s="188"/>
      <c r="G1038" s="188"/>
      <c r="H1038" s="188"/>
    </row>
    <row r="1039" ht="15.75" spans="1:8">
      <c r="A1039" s="187"/>
      <c r="B1039" s="189"/>
      <c r="C1039" s="190"/>
      <c r="D1039" s="190"/>
      <c r="E1039" s="190"/>
      <c r="F1039" s="191"/>
      <c r="G1039" s="192"/>
      <c r="H1039" s="192"/>
    </row>
    <row r="1040" ht="15.75" spans="1:8">
      <c r="A1040" s="187"/>
      <c r="B1040" s="189"/>
      <c r="C1040" s="190"/>
      <c r="D1040" s="190"/>
      <c r="E1040" s="190"/>
      <c r="F1040" s="193"/>
      <c r="G1040" s="194"/>
      <c r="H1040" s="195"/>
    </row>
    <row r="1041" ht="15.75" spans="1:8">
      <c r="A1041" s="196" t="s">
        <v>3</v>
      </c>
      <c r="B1041" s="196" t="s">
        <v>58</v>
      </c>
      <c r="C1041" s="196"/>
      <c r="D1041" s="196"/>
      <c r="E1041" s="196"/>
      <c r="F1041" s="196" t="s">
        <v>5</v>
      </c>
      <c r="G1041" s="197">
        <v>0.208333333333333</v>
      </c>
      <c r="H1041" s="198"/>
    </row>
    <row r="1042" spans="1:8">
      <c r="A1042" s="196" t="s">
        <v>6</v>
      </c>
      <c r="B1042" s="195" t="s">
        <v>10</v>
      </c>
      <c r="C1042" s="196"/>
      <c r="D1042" s="196"/>
      <c r="E1042" s="196"/>
      <c r="F1042" s="196" t="s">
        <v>8</v>
      </c>
      <c r="G1042" s="199">
        <v>0.875</v>
      </c>
      <c r="H1042" s="195"/>
    </row>
    <row r="1043" spans="1:8">
      <c r="A1043" s="196" t="s">
        <v>9</v>
      </c>
      <c r="B1043" s="195"/>
      <c r="C1043" s="196"/>
      <c r="D1043" s="196"/>
      <c r="E1043" s="196"/>
      <c r="F1043" s="196"/>
      <c r="G1043" s="196"/>
      <c r="H1043" s="195"/>
    </row>
    <row r="1044" ht="15.75" spans="1:8">
      <c r="A1044" s="189"/>
      <c r="B1044" s="195"/>
      <c r="C1044" s="196"/>
      <c r="D1044" s="196"/>
      <c r="E1044" s="196"/>
      <c r="F1044" s="196"/>
      <c r="G1044" s="200"/>
      <c r="H1044" s="201"/>
    </row>
    <row r="1045" ht="15.75" spans="1:8">
      <c r="A1045" s="202"/>
      <c r="B1045" s="202"/>
      <c r="C1045" s="202"/>
      <c r="D1045" s="202"/>
      <c r="E1045" s="202"/>
      <c r="F1045" s="202"/>
      <c r="G1045" s="202"/>
      <c r="H1045" s="202"/>
    </row>
    <row r="1046" ht="15.75" spans="1:8">
      <c r="A1046" s="203" t="s">
        <v>11</v>
      </c>
      <c r="B1046" s="203" t="s">
        <v>12</v>
      </c>
      <c r="C1046" s="203" t="s">
        <v>13</v>
      </c>
      <c r="D1046" s="203" t="s">
        <v>14</v>
      </c>
      <c r="E1046" s="203" t="s">
        <v>15</v>
      </c>
      <c r="F1046" s="203" t="s">
        <v>16</v>
      </c>
      <c r="G1046" s="203" t="s">
        <v>17</v>
      </c>
      <c r="H1046" s="203" t="s">
        <v>18</v>
      </c>
    </row>
    <row r="1047" ht="15.75" spans="1:8">
      <c r="A1047" s="204">
        <v>1</v>
      </c>
      <c r="B1047" s="205" t="s">
        <v>19</v>
      </c>
      <c r="C1047" s="206">
        <f>D1002</f>
        <v>43093</v>
      </c>
      <c r="D1047" s="206">
        <v>43678</v>
      </c>
      <c r="E1047" s="206">
        <f>D1047-C1047</f>
        <v>585</v>
      </c>
      <c r="F1047" s="207">
        <f>SUM(E1047:E1048)</f>
        <v>1292</v>
      </c>
      <c r="G1047" s="208">
        <v>12200</v>
      </c>
      <c r="H1047" s="209">
        <f>F1047*G1047</f>
        <v>15762400</v>
      </c>
    </row>
    <row r="1048" ht="15.75" spans="1:8">
      <c r="A1048" s="210"/>
      <c r="B1048" s="205" t="s">
        <v>20</v>
      </c>
      <c r="C1048" s="206">
        <f>D1003</f>
        <v>45111</v>
      </c>
      <c r="D1048" s="206">
        <v>45818</v>
      </c>
      <c r="E1048" s="206">
        <f>D1048-C1048</f>
        <v>707</v>
      </c>
      <c r="F1048" s="207"/>
      <c r="G1048" s="211"/>
      <c r="H1048" s="209"/>
    </row>
    <row r="1049" ht="15.75" spans="1:8">
      <c r="A1049" s="210"/>
      <c r="B1049" s="205" t="s">
        <v>21</v>
      </c>
      <c r="C1049" s="206">
        <f>D1004</f>
        <v>6864</v>
      </c>
      <c r="D1049" s="206">
        <v>6878</v>
      </c>
      <c r="E1049" s="206">
        <f>D1049-C1049</f>
        <v>14</v>
      </c>
      <c r="F1049" s="207">
        <f>SUM(E1049:E1050)</f>
        <v>60</v>
      </c>
      <c r="G1049" s="209">
        <v>14500</v>
      </c>
      <c r="H1049" s="209">
        <f>G1049*F1049</f>
        <v>870000</v>
      </c>
    </row>
    <row r="1050" ht="15.75" spans="1:8">
      <c r="A1050" s="212"/>
      <c r="B1050" s="205" t="s">
        <v>22</v>
      </c>
      <c r="C1050" s="206">
        <f>D1005</f>
        <v>7209</v>
      </c>
      <c r="D1050" s="206">
        <v>7255</v>
      </c>
      <c r="E1050" s="206">
        <f>D1050-C1050</f>
        <v>46</v>
      </c>
      <c r="F1050" s="207"/>
      <c r="G1050" s="209"/>
      <c r="H1050" s="209"/>
    </row>
    <row r="1051" ht="15.75" spans="1:8">
      <c r="A1051" s="213"/>
      <c r="B1051" s="213"/>
      <c r="C1051" s="213"/>
      <c r="D1051" s="213"/>
      <c r="E1051" s="213"/>
      <c r="F1051" s="213"/>
      <c r="G1051" s="189" t="s">
        <v>23</v>
      </c>
      <c r="H1051" s="214">
        <f>H1047+H1049</f>
        <v>16632400</v>
      </c>
    </row>
    <row r="1052" spans="1:8">
      <c r="A1052" s="213" t="s">
        <v>24</v>
      </c>
      <c r="B1052" s="215">
        <f>H1061</f>
        <v>15690400</v>
      </c>
      <c r="C1052" s="213"/>
      <c r="D1052" s="213"/>
      <c r="E1052" s="213"/>
      <c r="F1052" s="213"/>
      <c r="G1052" s="196" t="s">
        <v>25</v>
      </c>
      <c r="H1052" s="216">
        <v>14000000</v>
      </c>
    </row>
    <row r="1053" ht="15.75" spans="1:8">
      <c r="A1053" s="213" t="s">
        <v>26</v>
      </c>
      <c r="B1053" s="217"/>
      <c r="C1053" s="202"/>
      <c r="D1053" s="213"/>
      <c r="E1053" s="213"/>
      <c r="F1053" s="213"/>
      <c r="G1053" s="196" t="s">
        <v>27</v>
      </c>
      <c r="H1053" s="218">
        <v>942000</v>
      </c>
    </row>
    <row r="1054" ht="15.75" spans="1:8">
      <c r="A1054" s="219" t="s">
        <v>18</v>
      </c>
      <c r="B1054" s="215">
        <f>SUM(B1052:B1053)</f>
        <v>15690400</v>
      </c>
      <c r="C1054" s="213"/>
      <c r="D1054" s="213"/>
      <c r="E1054" s="213"/>
      <c r="F1054" s="213"/>
      <c r="G1054" s="200" t="s">
        <v>28</v>
      </c>
      <c r="H1054" s="220">
        <f>H1051-H1052-H1053</f>
        <v>1690400</v>
      </c>
    </row>
    <row r="1055" ht="15.75" spans="1:8">
      <c r="A1055" s="202"/>
      <c r="C1055" s="202"/>
      <c r="D1055" s="202"/>
      <c r="E1055" s="202"/>
      <c r="F1055" s="202"/>
      <c r="G1055" s="202"/>
      <c r="H1055" s="202"/>
    </row>
    <row r="1056" ht="15.75" spans="1:8">
      <c r="A1056" s="202"/>
      <c r="B1056" s="202"/>
      <c r="C1056" s="202"/>
      <c r="D1056" s="202"/>
      <c r="E1056" s="202"/>
      <c r="F1056" s="202"/>
      <c r="G1056" s="202"/>
      <c r="H1056" s="202"/>
    </row>
    <row r="1057" ht="15.75" spans="1:8">
      <c r="A1057" s="221" t="s">
        <v>23</v>
      </c>
      <c r="B1057" s="222"/>
      <c r="C1057" s="202"/>
      <c r="D1057" s="202"/>
      <c r="E1057" s="202"/>
      <c r="F1057" s="202"/>
      <c r="G1057" s="202"/>
      <c r="H1057" s="202"/>
    </row>
    <row r="1058" ht="15.75" spans="1:8">
      <c r="A1058" s="205" t="s">
        <v>29</v>
      </c>
      <c r="B1058" s="223">
        <f>F1047</f>
        <v>1292</v>
      </c>
      <c r="C1058" s="202"/>
      <c r="D1058" s="202"/>
      <c r="E1058" s="202"/>
      <c r="F1058" s="224" t="s">
        <v>30</v>
      </c>
      <c r="G1058" s="224"/>
      <c r="H1058" s="225">
        <f>H1051</f>
        <v>16632400</v>
      </c>
    </row>
    <row r="1059" ht="15.75" spans="1:8">
      <c r="A1059" s="205" t="s">
        <v>31</v>
      </c>
      <c r="B1059" s="223">
        <f>F1049</f>
        <v>60</v>
      </c>
      <c r="C1059" s="202"/>
      <c r="D1059" s="202"/>
      <c r="E1059" s="202"/>
      <c r="F1059" s="224" t="s">
        <v>27</v>
      </c>
      <c r="G1059" s="224"/>
      <c r="H1059" s="225">
        <f>H1053</f>
        <v>942000</v>
      </c>
    </row>
    <row r="1060" ht="15.75" spans="1:8">
      <c r="A1060" s="189"/>
      <c r="B1060" s="226"/>
      <c r="C1060" s="202"/>
      <c r="D1060" s="202"/>
      <c r="E1060" s="202"/>
      <c r="F1060" s="224" t="s">
        <v>26</v>
      </c>
      <c r="G1060" s="224"/>
      <c r="H1060" s="227">
        <f>B1053</f>
        <v>0</v>
      </c>
    </row>
    <row r="1061" ht="15.75" spans="1:8">
      <c r="A1061" s="228"/>
      <c r="B1061" s="226"/>
      <c r="C1061" s="202"/>
      <c r="D1061" s="202"/>
      <c r="E1061" s="202"/>
      <c r="F1061" s="224" t="s">
        <v>28</v>
      </c>
      <c r="G1061" s="224"/>
      <c r="H1061" s="225">
        <f>H1058-H1059-H1060</f>
        <v>15690400</v>
      </c>
    </row>
    <row r="1063" ht="15.75" spans="1:8">
      <c r="A1063" s="229"/>
      <c r="B1063" s="230"/>
      <c r="C1063" s="230"/>
      <c r="D1063" s="230"/>
      <c r="E1063" s="229"/>
      <c r="F1063" s="231"/>
      <c r="G1063" s="230"/>
      <c r="H1063" s="230"/>
    </row>
    <row r="1064" spans="1:8">
      <c r="A1064" s="232"/>
      <c r="B1064" s="233"/>
      <c r="C1064" s="234"/>
      <c r="D1064" s="234"/>
      <c r="E1064" s="232"/>
      <c r="F1064" s="233"/>
      <c r="G1064" s="234"/>
      <c r="H1064" s="234"/>
    </row>
    <row r="1065" spans="1:8">
      <c r="A1065" s="232"/>
      <c r="B1065" s="233"/>
      <c r="C1065" s="234"/>
      <c r="D1065" s="234"/>
      <c r="E1065" s="232"/>
      <c r="F1065" s="233"/>
      <c r="G1065" s="234"/>
      <c r="H1065" s="234"/>
    </row>
    <row r="1066" spans="1:8">
      <c r="A1066" s="232"/>
      <c r="B1066" s="233"/>
      <c r="C1066" s="234"/>
      <c r="D1066" s="234"/>
      <c r="E1066" s="232"/>
      <c r="F1066" s="233"/>
      <c r="G1066" s="234"/>
      <c r="H1066" s="234"/>
    </row>
    <row r="1067" spans="1:8">
      <c r="A1067" s="232"/>
      <c r="B1067" s="233"/>
      <c r="C1067" s="234"/>
      <c r="D1067" s="234"/>
      <c r="E1067" s="232"/>
      <c r="F1067" s="233"/>
      <c r="G1067" s="234"/>
      <c r="H1067" s="234"/>
    </row>
    <row r="1068" spans="1:8">
      <c r="A1068" s="232"/>
      <c r="B1068" s="233"/>
      <c r="C1068" s="234"/>
      <c r="D1068" s="234"/>
      <c r="E1068" s="232"/>
      <c r="F1068" s="233"/>
      <c r="G1068" s="234"/>
      <c r="H1068" s="234"/>
    </row>
    <row r="1069" spans="1:8">
      <c r="A1069" s="232"/>
      <c r="B1069" s="233"/>
      <c r="C1069" s="234"/>
      <c r="D1069" s="234"/>
      <c r="E1069" s="232"/>
      <c r="F1069" s="233"/>
      <c r="G1069" s="234"/>
      <c r="H1069" s="234"/>
    </row>
    <row r="1070" spans="1:8">
      <c r="A1070" s="232"/>
      <c r="B1070" s="233"/>
      <c r="C1070" s="235"/>
      <c r="D1070" s="235"/>
      <c r="E1070" s="236"/>
      <c r="F1070" s="236"/>
      <c r="G1070" s="237"/>
      <c r="H1070" s="237"/>
    </row>
    <row r="1071" spans="1:8">
      <c r="A1071" s="109"/>
      <c r="B1071" s="109"/>
      <c r="C1071" s="109"/>
      <c r="D1071" s="109"/>
      <c r="E1071" s="109"/>
      <c r="F1071" s="109"/>
      <c r="G1071" s="109"/>
      <c r="H1071" s="109"/>
    </row>
    <row r="1083" ht="18" spans="1:8">
      <c r="A1083" s="109"/>
      <c r="B1083" s="109"/>
      <c r="C1083" s="184" t="s">
        <v>0</v>
      </c>
      <c r="D1083" s="184"/>
      <c r="E1083" s="184"/>
      <c r="F1083" s="184"/>
      <c r="G1083" s="184"/>
      <c r="H1083" s="184"/>
    </row>
    <row r="1084" ht="18" spans="1:8">
      <c r="A1084" s="185"/>
      <c r="B1084" s="185"/>
      <c r="C1084" s="186" t="s">
        <v>1</v>
      </c>
      <c r="D1084" s="186"/>
      <c r="E1084" s="186"/>
      <c r="F1084" s="186"/>
      <c r="G1084" s="186"/>
      <c r="H1084" s="186"/>
    </row>
    <row r="1085" ht="18" spans="1:8">
      <c r="A1085" s="187"/>
      <c r="B1085" s="187"/>
      <c r="C1085" s="188" t="s">
        <v>2</v>
      </c>
      <c r="D1085" s="188"/>
      <c r="E1085" s="188"/>
      <c r="F1085" s="188"/>
      <c r="G1085" s="188"/>
      <c r="H1085" s="188"/>
    </row>
    <row r="1086" ht="15.75" spans="1:8">
      <c r="A1086" s="187"/>
      <c r="B1086" s="189"/>
      <c r="C1086" s="190"/>
      <c r="D1086" s="190"/>
      <c r="E1086" s="190"/>
      <c r="F1086" s="191"/>
      <c r="G1086" s="192"/>
      <c r="H1086" s="192"/>
    </row>
    <row r="1087" ht="15.75" spans="1:8">
      <c r="A1087" s="187"/>
      <c r="B1087" s="189"/>
      <c r="C1087" s="190"/>
      <c r="D1087" s="190"/>
      <c r="E1087" s="190"/>
      <c r="F1087" s="193"/>
      <c r="G1087" s="194"/>
      <c r="H1087" s="195"/>
    </row>
    <row r="1088" ht="15.75" spans="1:8">
      <c r="A1088" s="196" t="s">
        <v>3</v>
      </c>
      <c r="B1088" s="196" t="s">
        <v>59</v>
      </c>
      <c r="C1088" s="196"/>
      <c r="D1088" s="196"/>
      <c r="E1088" s="196"/>
      <c r="F1088" s="196" t="s">
        <v>5</v>
      </c>
      <c r="G1088" s="197">
        <v>0.208333333333333</v>
      </c>
      <c r="H1088" s="198"/>
    </row>
    <row r="1089" spans="1:8">
      <c r="A1089" s="196" t="s">
        <v>6</v>
      </c>
      <c r="B1089" s="195" t="s">
        <v>7</v>
      </c>
      <c r="C1089" s="196"/>
      <c r="D1089" s="196"/>
      <c r="E1089" s="196"/>
      <c r="F1089" s="196" t="s">
        <v>8</v>
      </c>
      <c r="G1089" s="199">
        <v>0.875</v>
      </c>
      <c r="H1089" s="195"/>
    </row>
    <row r="1090" spans="1:8">
      <c r="A1090" s="196" t="s">
        <v>9</v>
      </c>
      <c r="B1090" s="195" t="s">
        <v>33</v>
      </c>
      <c r="C1090" s="196"/>
      <c r="D1090" s="196"/>
      <c r="E1090" s="196"/>
      <c r="F1090" s="196"/>
      <c r="G1090" s="196"/>
      <c r="H1090" s="195"/>
    </row>
    <row r="1091" ht="15.75" spans="1:8">
      <c r="A1091" s="189"/>
      <c r="B1091" s="195"/>
      <c r="C1091" s="196"/>
      <c r="D1091" s="196"/>
      <c r="E1091" s="196"/>
      <c r="F1091" s="196"/>
      <c r="G1091" s="200"/>
      <c r="H1091" s="201"/>
    </row>
    <row r="1092" ht="15.75" spans="1:8">
      <c r="A1092" s="202"/>
      <c r="B1092" s="202"/>
      <c r="C1092" s="202"/>
      <c r="D1092" s="202"/>
      <c r="E1092" s="202"/>
      <c r="F1092" s="202"/>
      <c r="G1092" s="202"/>
      <c r="H1092" s="202"/>
    </row>
    <row r="1093" ht="15.75" spans="1:8">
      <c r="A1093" s="203" t="s">
        <v>11</v>
      </c>
      <c r="B1093" s="203" t="s">
        <v>12</v>
      </c>
      <c r="C1093" s="203" t="s">
        <v>13</v>
      </c>
      <c r="D1093" s="203" t="s">
        <v>14</v>
      </c>
      <c r="E1093" s="203" t="s">
        <v>15</v>
      </c>
      <c r="F1093" s="203" t="s">
        <v>16</v>
      </c>
      <c r="G1093" s="203" t="s">
        <v>17</v>
      </c>
      <c r="H1093" s="203" t="s">
        <v>18</v>
      </c>
    </row>
    <row r="1094" ht="15.75" spans="1:8">
      <c r="A1094" s="204">
        <v>1</v>
      </c>
      <c r="B1094" s="205" t="s">
        <v>19</v>
      </c>
      <c r="C1094" s="206">
        <f>D1047</f>
        <v>43678</v>
      </c>
      <c r="D1094" s="206">
        <v>44324</v>
      </c>
      <c r="E1094" s="206">
        <f>D1094-C1094</f>
        <v>646</v>
      </c>
      <c r="F1094" s="207">
        <f>SUM(E1094:E1095)</f>
        <v>2332</v>
      </c>
      <c r="G1094" s="208">
        <v>12200</v>
      </c>
      <c r="H1094" s="209">
        <f>F1094*G1094</f>
        <v>28450400</v>
      </c>
    </row>
    <row r="1095" ht="15.75" spans="1:8">
      <c r="A1095" s="210"/>
      <c r="B1095" s="205" t="s">
        <v>20</v>
      </c>
      <c r="C1095" s="206">
        <f>D1048</f>
        <v>45818</v>
      </c>
      <c r="D1095" s="206">
        <v>47504</v>
      </c>
      <c r="E1095" s="206">
        <f>D1095-C1095</f>
        <v>1686</v>
      </c>
      <c r="F1095" s="207"/>
      <c r="G1095" s="211"/>
      <c r="H1095" s="209"/>
    </row>
    <row r="1096" ht="15.75" spans="1:8">
      <c r="A1096" s="210"/>
      <c r="B1096" s="205" t="s">
        <v>21</v>
      </c>
      <c r="C1096" s="206">
        <f>D1049</f>
        <v>6878</v>
      </c>
      <c r="D1096" s="206">
        <v>6878</v>
      </c>
      <c r="E1096" s="206">
        <f>D1096-C1096</f>
        <v>0</v>
      </c>
      <c r="F1096" s="207">
        <f>SUM(E1096:E1097)</f>
        <v>11</v>
      </c>
      <c r="G1096" s="209">
        <v>14500</v>
      </c>
      <c r="H1096" s="209">
        <f>G1096*F1096</f>
        <v>159500</v>
      </c>
    </row>
    <row r="1097" ht="15.75" spans="1:8">
      <c r="A1097" s="212"/>
      <c r="B1097" s="205" t="s">
        <v>22</v>
      </c>
      <c r="C1097" s="206">
        <f>D1050</f>
        <v>7255</v>
      </c>
      <c r="D1097" s="206">
        <v>7266</v>
      </c>
      <c r="E1097" s="206">
        <f>D1097-C1097</f>
        <v>11</v>
      </c>
      <c r="F1097" s="207"/>
      <c r="G1097" s="209"/>
      <c r="H1097" s="209"/>
    </row>
    <row r="1098" ht="15.75" spans="1:8">
      <c r="A1098" s="213"/>
      <c r="B1098" s="213"/>
      <c r="C1098" s="213"/>
      <c r="D1098" s="213"/>
      <c r="E1098" s="213"/>
      <c r="F1098" s="213"/>
      <c r="G1098" s="189" t="s">
        <v>23</v>
      </c>
      <c r="H1098" s="214">
        <f>H1094+H1096</f>
        <v>28609900</v>
      </c>
    </row>
    <row r="1099" spans="1:8">
      <c r="A1099" s="213" t="s">
        <v>24</v>
      </c>
      <c r="B1099" s="215">
        <f>H1108</f>
        <v>27495900</v>
      </c>
      <c r="C1099" s="213"/>
      <c r="D1099" s="213"/>
      <c r="E1099" s="213"/>
      <c r="F1099" s="213"/>
      <c r="G1099" s="196" t="s">
        <v>25</v>
      </c>
      <c r="H1099" s="216">
        <v>25000000</v>
      </c>
    </row>
    <row r="1100" ht="15.75" spans="1:8">
      <c r="A1100" s="213" t="s">
        <v>26</v>
      </c>
      <c r="B1100" s="217">
        <v>500</v>
      </c>
      <c r="C1100" s="202"/>
      <c r="D1100" s="213"/>
      <c r="E1100" s="213"/>
      <c r="F1100" s="213"/>
      <c r="G1100" s="196" t="s">
        <v>27</v>
      </c>
      <c r="H1100" s="218">
        <v>1113500</v>
      </c>
    </row>
    <row r="1101" ht="15.75" spans="1:8">
      <c r="A1101" s="219" t="s">
        <v>18</v>
      </c>
      <c r="B1101" s="215">
        <f>SUM(B1099:B1100)</f>
        <v>27496400</v>
      </c>
      <c r="C1101" s="213"/>
      <c r="D1101" s="213"/>
      <c r="E1101" s="213"/>
      <c r="F1101" s="213"/>
      <c r="G1101" s="200" t="s">
        <v>28</v>
      </c>
      <c r="H1101" s="220">
        <f>H1098-H1099-H1100</f>
        <v>2496400</v>
      </c>
    </row>
    <row r="1102" ht="15.75" spans="1:8">
      <c r="A1102" s="202"/>
      <c r="C1102" s="202"/>
      <c r="D1102" s="202"/>
      <c r="E1102" s="202"/>
      <c r="F1102" s="202"/>
      <c r="G1102" s="202"/>
      <c r="H1102" s="202"/>
    </row>
    <row r="1103" ht="15.75" spans="1:8">
      <c r="A1103" s="202"/>
      <c r="B1103" s="202"/>
      <c r="C1103" s="202"/>
      <c r="D1103" s="202"/>
      <c r="E1103" s="202"/>
      <c r="F1103" s="202"/>
      <c r="G1103" s="202"/>
      <c r="H1103" s="202"/>
    </row>
    <row r="1104" ht="15.75" spans="1:8">
      <c r="A1104" s="221" t="s">
        <v>23</v>
      </c>
      <c r="B1104" s="222"/>
      <c r="C1104" s="202"/>
      <c r="D1104" s="202"/>
      <c r="E1104" s="202"/>
      <c r="F1104" s="202"/>
      <c r="G1104" s="202"/>
      <c r="H1104" s="202"/>
    </row>
    <row r="1105" ht="15.75" spans="1:8">
      <c r="A1105" s="205" t="s">
        <v>29</v>
      </c>
      <c r="B1105" s="223">
        <f>F1094</f>
        <v>2332</v>
      </c>
      <c r="C1105" s="202"/>
      <c r="D1105" s="202"/>
      <c r="E1105" s="202"/>
      <c r="F1105" s="224" t="s">
        <v>30</v>
      </c>
      <c r="G1105" s="224"/>
      <c r="H1105" s="225">
        <f>H1098</f>
        <v>28609900</v>
      </c>
    </row>
    <row r="1106" ht="15.75" spans="1:8">
      <c r="A1106" s="205" t="s">
        <v>31</v>
      </c>
      <c r="B1106" s="223">
        <f>F1096</f>
        <v>11</v>
      </c>
      <c r="C1106" s="202"/>
      <c r="D1106" s="202"/>
      <c r="E1106" s="202"/>
      <c r="F1106" s="224" t="s">
        <v>27</v>
      </c>
      <c r="G1106" s="224"/>
      <c r="H1106" s="225">
        <f>H1100</f>
        <v>1113500</v>
      </c>
    </row>
    <row r="1107" ht="15.75" spans="1:8">
      <c r="A1107" s="189"/>
      <c r="B1107" s="226"/>
      <c r="C1107" s="202"/>
      <c r="D1107" s="202"/>
      <c r="E1107" s="202"/>
      <c r="F1107" s="224" t="s">
        <v>26</v>
      </c>
      <c r="G1107" s="224"/>
      <c r="H1107" s="227">
        <f>B1100</f>
        <v>500</v>
      </c>
    </row>
    <row r="1108" ht="15.75" spans="1:8">
      <c r="A1108" s="228"/>
      <c r="B1108" s="226"/>
      <c r="C1108" s="202"/>
      <c r="D1108" s="202"/>
      <c r="E1108" s="202"/>
      <c r="F1108" s="224" t="s">
        <v>28</v>
      </c>
      <c r="G1108" s="224"/>
      <c r="H1108" s="225">
        <f>H1105-H1106-H1107</f>
        <v>27495900</v>
      </c>
    </row>
    <row r="1110" ht="15.75" spans="1:8">
      <c r="A1110" s="229"/>
      <c r="B1110" s="230"/>
      <c r="C1110" s="230"/>
      <c r="D1110" s="230"/>
      <c r="E1110" s="229"/>
      <c r="F1110" s="231"/>
      <c r="G1110" s="230"/>
      <c r="H1110" s="230"/>
    </row>
    <row r="1111" spans="1:8">
      <c r="A1111" s="232"/>
      <c r="B1111" s="233"/>
      <c r="C1111" s="234"/>
      <c r="D1111" s="234"/>
      <c r="E1111" s="232"/>
      <c r="F1111" s="233"/>
      <c r="G1111" s="234"/>
      <c r="H1111" s="234"/>
    </row>
    <row r="1112" spans="1:8">
      <c r="A1112" s="232"/>
      <c r="B1112" s="233"/>
      <c r="C1112" s="234"/>
      <c r="D1112" s="234"/>
      <c r="E1112" s="232"/>
      <c r="F1112" s="233"/>
      <c r="G1112" s="234"/>
      <c r="H1112" s="234"/>
    </row>
    <row r="1113" spans="1:8">
      <c r="A1113" s="232"/>
      <c r="B1113" s="233"/>
      <c r="C1113" s="234"/>
      <c r="D1113" s="234"/>
      <c r="E1113" s="232"/>
      <c r="F1113" s="233"/>
      <c r="G1113" s="234"/>
      <c r="H1113" s="234"/>
    </row>
    <row r="1114" spans="1:8">
      <c r="A1114" s="232"/>
      <c r="B1114" s="233"/>
      <c r="C1114" s="234"/>
      <c r="D1114" s="234"/>
      <c r="E1114" s="232"/>
      <c r="F1114" s="233"/>
      <c r="G1114" s="234"/>
      <c r="H1114" s="234"/>
    </row>
    <row r="1115" spans="1:8">
      <c r="A1115" s="232"/>
      <c r="B1115" s="233"/>
      <c r="C1115" s="234"/>
      <c r="D1115" s="234"/>
      <c r="E1115" s="232"/>
      <c r="F1115" s="233"/>
      <c r="G1115" s="234"/>
      <c r="H1115" s="234"/>
    </row>
    <row r="1116" spans="1:8">
      <c r="A1116" s="232"/>
      <c r="B1116" s="233"/>
      <c r="C1116" s="234"/>
      <c r="D1116" s="234"/>
      <c r="E1116" s="232"/>
      <c r="F1116" s="233"/>
      <c r="G1116" s="234"/>
      <c r="H1116" s="234"/>
    </row>
    <row r="1117" spans="1:8">
      <c r="A1117" s="232"/>
      <c r="B1117" s="233"/>
      <c r="C1117" s="235"/>
      <c r="D1117" s="235"/>
      <c r="E1117" s="236"/>
      <c r="F1117" s="236"/>
      <c r="G1117" s="237"/>
      <c r="H1117" s="237"/>
    </row>
    <row r="1118" spans="1:8">
      <c r="A1118" s="109"/>
      <c r="B1118" s="109"/>
      <c r="C1118" s="109"/>
      <c r="D1118" s="109"/>
      <c r="E1118" s="109"/>
      <c r="F1118" s="109"/>
      <c r="G1118" s="109"/>
      <c r="H1118" s="109"/>
    </row>
    <row r="1126" ht="18" spans="1:8">
      <c r="A1126" s="109"/>
      <c r="B1126" s="109"/>
      <c r="C1126" s="184" t="s">
        <v>0</v>
      </c>
      <c r="D1126" s="184"/>
      <c r="E1126" s="184"/>
      <c r="F1126" s="184"/>
      <c r="G1126" s="184"/>
      <c r="H1126" s="184"/>
    </row>
    <row r="1127" ht="18" spans="1:8">
      <c r="A1127" s="185"/>
      <c r="B1127" s="185"/>
      <c r="C1127" s="186" t="s">
        <v>1</v>
      </c>
      <c r="D1127" s="186"/>
      <c r="E1127" s="186"/>
      <c r="F1127" s="186"/>
      <c r="G1127" s="186"/>
      <c r="H1127" s="186"/>
    </row>
    <row r="1128" ht="18" spans="1:8">
      <c r="A1128" s="187"/>
      <c r="B1128" s="187"/>
      <c r="C1128" s="188" t="s">
        <v>2</v>
      </c>
      <c r="D1128" s="188"/>
      <c r="E1128" s="188"/>
      <c r="F1128" s="188"/>
      <c r="G1128" s="188"/>
      <c r="H1128" s="188"/>
    </row>
    <row r="1129" ht="15.75" spans="1:8">
      <c r="A1129" s="187"/>
      <c r="B1129" s="189"/>
      <c r="C1129" s="190"/>
      <c r="D1129" s="190"/>
      <c r="E1129" s="190"/>
      <c r="F1129" s="191"/>
      <c r="G1129" s="192"/>
      <c r="H1129" s="192"/>
    </row>
    <row r="1130" ht="15.75" spans="1:8">
      <c r="A1130" s="187"/>
      <c r="B1130" s="189"/>
      <c r="C1130" s="190"/>
      <c r="D1130" s="190"/>
      <c r="E1130" s="190"/>
      <c r="F1130" s="193"/>
      <c r="G1130" s="194"/>
      <c r="H1130" s="195"/>
    </row>
    <row r="1131" ht="15.75" spans="1:8">
      <c r="A1131" s="196" t="s">
        <v>3</v>
      </c>
      <c r="B1131" s="196" t="s">
        <v>60</v>
      </c>
      <c r="C1131" s="196"/>
      <c r="D1131" s="196"/>
      <c r="E1131" s="196"/>
      <c r="F1131" s="196" t="s">
        <v>5</v>
      </c>
      <c r="G1131" s="197">
        <v>0.208333333333333</v>
      </c>
      <c r="H1131" s="198"/>
    </row>
    <row r="1132" spans="1:8">
      <c r="A1132" s="196" t="s">
        <v>6</v>
      </c>
      <c r="B1132" s="195" t="s">
        <v>10</v>
      </c>
      <c r="C1132" s="196"/>
      <c r="D1132" s="196"/>
      <c r="E1132" s="196"/>
      <c r="F1132" s="196" t="s">
        <v>8</v>
      </c>
      <c r="G1132" s="199">
        <v>0.875</v>
      </c>
      <c r="H1132" s="195"/>
    </row>
    <row r="1133" spans="1:8">
      <c r="A1133" s="196" t="s">
        <v>9</v>
      </c>
      <c r="B1133" s="195" t="s">
        <v>33</v>
      </c>
      <c r="C1133" s="196"/>
      <c r="D1133" s="196"/>
      <c r="E1133" s="196"/>
      <c r="F1133" s="196"/>
      <c r="G1133" s="199"/>
      <c r="H1133" s="195"/>
    </row>
    <row r="1134" ht="15.75" spans="1:8">
      <c r="A1134" s="189"/>
      <c r="B1134" s="195"/>
      <c r="C1134" s="196"/>
      <c r="D1134" s="196"/>
      <c r="E1134" s="196"/>
      <c r="F1134" s="196"/>
      <c r="G1134" s="200"/>
      <c r="H1134" s="201"/>
    </row>
    <row r="1135" ht="15.75" spans="1:8">
      <c r="A1135" s="202"/>
      <c r="B1135" s="202"/>
      <c r="C1135" s="202"/>
      <c r="D1135" s="202"/>
      <c r="E1135" s="202"/>
      <c r="F1135" s="202"/>
      <c r="G1135" s="202"/>
      <c r="H1135" s="202"/>
    </row>
    <row r="1136" ht="15.75" spans="1:8">
      <c r="A1136" s="203" t="s">
        <v>11</v>
      </c>
      <c r="B1136" s="203" t="s">
        <v>12</v>
      </c>
      <c r="C1136" s="203" t="s">
        <v>13</v>
      </c>
      <c r="D1136" s="203" t="s">
        <v>14</v>
      </c>
      <c r="E1136" s="203" t="s">
        <v>15</v>
      </c>
      <c r="F1136" s="203" t="s">
        <v>16</v>
      </c>
      <c r="G1136" s="203" t="s">
        <v>17</v>
      </c>
      <c r="H1136" s="203" t="s">
        <v>18</v>
      </c>
    </row>
    <row r="1137" ht="15.75" spans="1:8">
      <c r="A1137" s="204">
        <v>1</v>
      </c>
      <c r="B1137" s="205" t="s">
        <v>19</v>
      </c>
      <c r="C1137" s="206">
        <f>D1094</f>
        <v>44324</v>
      </c>
      <c r="D1137" s="206">
        <v>44871</v>
      </c>
      <c r="E1137" s="206">
        <f>D1137-C1137</f>
        <v>547</v>
      </c>
      <c r="F1137" s="207">
        <f>SUM(E1137:E1138)</f>
        <v>1155</v>
      </c>
      <c r="G1137" s="208">
        <v>12200</v>
      </c>
      <c r="H1137" s="209">
        <f>F1137*G1137</f>
        <v>14091000</v>
      </c>
    </row>
    <row r="1138" ht="15.75" spans="1:8">
      <c r="A1138" s="210"/>
      <c r="B1138" s="205" t="s">
        <v>20</v>
      </c>
      <c r="C1138" s="206">
        <f>D1095</f>
        <v>47504</v>
      </c>
      <c r="D1138" s="206">
        <v>48112</v>
      </c>
      <c r="E1138" s="206">
        <f>D1138-C1138</f>
        <v>608</v>
      </c>
      <c r="F1138" s="207"/>
      <c r="G1138" s="211"/>
      <c r="H1138" s="209"/>
    </row>
    <row r="1139" ht="15.75" spans="1:8">
      <c r="A1139" s="210"/>
      <c r="B1139" s="205" t="s">
        <v>21</v>
      </c>
      <c r="C1139" s="206">
        <f>D1096</f>
        <v>6878</v>
      </c>
      <c r="D1139" s="206">
        <v>6878</v>
      </c>
      <c r="E1139" s="206">
        <f>D1139-C1139</f>
        <v>0</v>
      </c>
      <c r="F1139" s="207">
        <f>SUM(E1139:E1140)</f>
        <v>101</v>
      </c>
      <c r="G1139" s="209">
        <v>14500</v>
      </c>
      <c r="H1139" s="209">
        <f>G1139*F1139</f>
        <v>1464500</v>
      </c>
    </row>
    <row r="1140" ht="15.75" spans="1:8">
      <c r="A1140" s="212"/>
      <c r="B1140" s="205" t="s">
        <v>22</v>
      </c>
      <c r="C1140" s="206">
        <f>D1097</f>
        <v>7266</v>
      </c>
      <c r="D1140" s="206">
        <v>7367</v>
      </c>
      <c r="E1140" s="206">
        <f>D1140-C1140</f>
        <v>101</v>
      </c>
      <c r="F1140" s="207"/>
      <c r="G1140" s="209"/>
      <c r="H1140" s="209"/>
    </row>
    <row r="1141" ht="15.75" spans="1:8">
      <c r="A1141" s="213"/>
      <c r="B1141" s="213"/>
      <c r="C1141" s="213"/>
      <c r="D1141" s="213"/>
      <c r="E1141" s="213"/>
      <c r="F1141" s="213"/>
      <c r="G1141" s="189" t="s">
        <v>23</v>
      </c>
      <c r="H1141" s="214">
        <f>H1137+H1139</f>
        <v>15555500</v>
      </c>
    </row>
    <row r="1142" spans="1:8">
      <c r="A1142" s="213" t="s">
        <v>24</v>
      </c>
      <c r="B1142" s="215">
        <f>H1151</f>
        <v>14658000</v>
      </c>
      <c r="C1142" s="213"/>
      <c r="D1142" s="213"/>
      <c r="E1142" s="213"/>
      <c r="F1142" s="213"/>
      <c r="G1142" s="196" t="s">
        <v>25</v>
      </c>
      <c r="H1142" s="216">
        <v>12000000</v>
      </c>
    </row>
    <row r="1143" ht="15.75" spans="1:8">
      <c r="A1143" s="213" t="s">
        <v>26</v>
      </c>
      <c r="B1143" s="217"/>
      <c r="C1143" s="202"/>
      <c r="D1143" s="213"/>
      <c r="E1143" s="213"/>
      <c r="F1143" s="213"/>
      <c r="G1143" s="196" t="s">
        <v>27</v>
      </c>
      <c r="H1143" s="218">
        <v>897500</v>
      </c>
    </row>
    <row r="1144" ht="15.75" spans="1:8">
      <c r="A1144" s="219" t="s">
        <v>18</v>
      </c>
      <c r="B1144" s="215">
        <f>SUM(B1142:B1143)</f>
        <v>14658000</v>
      </c>
      <c r="C1144" s="213"/>
      <c r="D1144" s="213"/>
      <c r="E1144" s="213"/>
      <c r="F1144" s="213"/>
      <c r="G1144" s="200" t="s">
        <v>28</v>
      </c>
      <c r="H1144" s="220">
        <f>H1141-H1142-H1143</f>
        <v>2658000</v>
      </c>
    </row>
    <row r="1145" ht="15.75" spans="1:8">
      <c r="A1145" s="202"/>
      <c r="C1145" s="202"/>
      <c r="D1145" s="202"/>
      <c r="E1145" s="202"/>
      <c r="F1145" s="202"/>
      <c r="G1145" s="202"/>
      <c r="H1145" s="202"/>
    </row>
    <row r="1146" ht="15.75" spans="1:8">
      <c r="A1146" s="202"/>
      <c r="B1146" s="202"/>
      <c r="C1146" s="202"/>
      <c r="D1146" s="202"/>
      <c r="E1146" s="202"/>
      <c r="F1146" s="202"/>
      <c r="G1146" s="202"/>
      <c r="H1146" s="202"/>
    </row>
    <row r="1147" ht="15.75" spans="1:8">
      <c r="A1147" s="221" t="s">
        <v>23</v>
      </c>
      <c r="B1147" s="222"/>
      <c r="C1147" s="202"/>
      <c r="D1147" s="202"/>
      <c r="E1147" s="202"/>
      <c r="F1147" s="202"/>
      <c r="G1147" s="202"/>
      <c r="H1147" s="202"/>
    </row>
    <row r="1148" ht="15.75" spans="1:8">
      <c r="A1148" s="205" t="s">
        <v>29</v>
      </c>
      <c r="B1148" s="223">
        <f>F1137</f>
        <v>1155</v>
      </c>
      <c r="C1148" s="202"/>
      <c r="D1148" s="202"/>
      <c r="E1148" s="202"/>
      <c r="F1148" s="224" t="s">
        <v>30</v>
      </c>
      <c r="G1148" s="224"/>
      <c r="H1148" s="225">
        <f>H1141</f>
        <v>15555500</v>
      </c>
    </row>
    <row r="1149" ht="15.75" spans="1:8">
      <c r="A1149" s="205" t="s">
        <v>31</v>
      </c>
      <c r="B1149" s="223">
        <f>F1139</f>
        <v>101</v>
      </c>
      <c r="C1149" s="202"/>
      <c r="D1149" s="202"/>
      <c r="E1149" s="202"/>
      <c r="F1149" s="224" t="s">
        <v>27</v>
      </c>
      <c r="G1149" s="224"/>
      <c r="H1149" s="225">
        <f>H1143</f>
        <v>897500</v>
      </c>
    </row>
    <row r="1150" ht="15.75" spans="1:8">
      <c r="A1150" s="189"/>
      <c r="B1150" s="226"/>
      <c r="C1150" s="202"/>
      <c r="D1150" s="202"/>
      <c r="E1150" s="202"/>
      <c r="F1150" s="224" t="s">
        <v>26</v>
      </c>
      <c r="G1150" s="224"/>
      <c r="H1150" s="227">
        <f>B1143</f>
        <v>0</v>
      </c>
    </row>
    <row r="1151" ht="15.75" spans="1:8">
      <c r="A1151" s="228"/>
      <c r="B1151" s="226"/>
      <c r="C1151" s="202"/>
      <c r="D1151" s="202"/>
      <c r="E1151" s="202"/>
      <c r="F1151" s="224" t="s">
        <v>28</v>
      </c>
      <c r="G1151" s="224"/>
      <c r="H1151" s="225">
        <f>H1148-H1149-H1150</f>
        <v>14658000</v>
      </c>
    </row>
    <row r="1153" ht="15.75" spans="1:8">
      <c r="A1153" s="229"/>
      <c r="B1153" s="230"/>
      <c r="C1153" s="230"/>
      <c r="D1153" s="230"/>
      <c r="E1153" s="229"/>
      <c r="F1153" s="231"/>
      <c r="G1153" s="230"/>
      <c r="H1153" s="230"/>
    </row>
    <row r="1154" spans="1:8">
      <c r="A1154" s="232"/>
      <c r="B1154" s="233"/>
      <c r="C1154" s="234"/>
      <c r="D1154" s="234"/>
      <c r="E1154" s="232"/>
      <c r="F1154" s="233"/>
      <c r="G1154" s="234"/>
      <c r="H1154" s="234"/>
    </row>
    <row r="1155" spans="1:8">
      <c r="A1155" s="232"/>
      <c r="B1155" s="233"/>
      <c r="C1155" s="234"/>
      <c r="D1155" s="234"/>
      <c r="E1155" s="232"/>
      <c r="F1155" s="233"/>
      <c r="G1155" s="234"/>
      <c r="H1155" s="234"/>
    </row>
    <row r="1156" spans="1:8">
      <c r="A1156" s="232"/>
      <c r="B1156" s="233"/>
      <c r="C1156" s="234"/>
      <c r="D1156" s="234"/>
      <c r="E1156" s="232"/>
      <c r="F1156" s="233"/>
      <c r="G1156" s="234"/>
      <c r="H1156" s="234"/>
    </row>
    <row r="1157" spans="1:8">
      <c r="A1157" s="232"/>
      <c r="B1157" s="233"/>
      <c r="C1157" s="234"/>
      <c r="D1157" s="234"/>
      <c r="E1157" s="232"/>
      <c r="F1157" s="233"/>
      <c r="G1157" s="234"/>
      <c r="H1157" s="234"/>
    </row>
    <row r="1158" spans="1:8">
      <c r="A1158" s="232"/>
      <c r="B1158" s="233"/>
      <c r="C1158" s="234"/>
      <c r="D1158" s="234"/>
      <c r="E1158" s="232"/>
      <c r="F1158" s="233"/>
      <c r="G1158" s="234"/>
      <c r="H1158" s="234"/>
    </row>
    <row r="1159" spans="1:8">
      <c r="A1159" s="232"/>
      <c r="B1159" s="233"/>
      <c r="C1159" s="234"/>
      <c r="D1159" s="234"/>
      <c r="E1159" s="232"/>
      <c r="F1159" s="233"/>
      <c r="G1159" s="234"/>
      <c r="H1159" s="234"/>
    </row>
    <row r="1160" spans="1:8">
      <c r="A1160" s="232"/>
      <c r="B1160" s="233"/>
      <c r="C1160" s="235"/>
      <c r="D1160" s="235"/>
      <c r="E1160" s="236"/>
      <c r="F1160" s="236"/>
      <c r="G1160" s="237"/>
      <c r="H1160" s="237"/>
    </row>
    <row r="1161" spans="1:8">
      <c r="A1161" s="109"/>
      <c r="B1161" s="109"/>
      <c r="C1161" s="109"/>
      <c r="D1161" s="109"/>
      <c r="E1161" s="109"/>
      <c r="F1161" s="109"/>
      <c r="G1161" s="109"/>
      <c r="H1161" s="109"/>
    </row>
    <row r="1171" ht="18" spans="1:8">
      <c r="A1171" s="109"/>
      <c r="B1171" s="109"/>
      <c r="C1171" s="184" t="s">
        <v>0</v>
      </c>
      <c r="D1171" s="184"/>
      <c r="E1171" s="184"/>
      <c r="F1171" s="184"/>
      <c r="G1171" s="184"/>
      <c r="H1171" s="184"/>
    </row>
    <row r="1172" ht="18" spans="1:8">
      <c r="A1172" s="185"/>
      <c r="B1172" s="185"/>
      <c r="C1172" s="186" t="s">
        <v>1</v>
      </c>
      <c r="D1172" s="186"/>
      <c r="E1172" s="186"/>
      <c r="F1172" s="186"/>
      <c r="G1172" s="186"/>
      <c r="H1172" s="186"/>
    </row>
    <row r="1173" ht="18" spans="1:8">
      <c r="A1173" s="187"/>
      <c r="B1173" s="187"/>
      <c r="C1173" s="188" t="s">
        <v>2</v>
      </c>
      <c r="D1173" s="188"/>
      <c r="E1173" s="188"/>
      <c r="F1173" s="188"/>
      <c r="G1173" s="188"/>
      <c r="H1173" s="188"/>
    </row>
    <row r="1174" ht="15.75" spans="1:8">
      <c r="A1174" s="187"/>
      <c r="B1174" s="189"/>
      <c r="C1174" s="190"/>
      <c r="D1174" s="190"/>
      <c r="E1174" s="190"/>
      <c r="F1174" s="191"/>
      <c r="G1174" s="192"/>
      <c r="H1174" s="192"/>
    </row>
    <row r="1175" ht="15.75" spans="1:8">
      <c r="A1175" s="187"/>
      <c r="B1175" s="189"/>
      <c r="C1175" s="190"/>
      <c r="D1175" s="190"/>
      <c r="E1175" s="190"/>
      <c r="F1175" s="193"/>
      <c r="G1175" s="194"/>
      <c r="H1175" s="195"/>
    </row>
    <row r="1176" ht="15.75" spans="1:8">
      <c r="A1176" s="196" t="s">
        <v>3</v>
      </c>
      <c r="B1176" s="196" t="s">
        <v>61</v>
      </c>
      <c r="C1176" s="196"/>
      <c r="D1176" s="196"/>
      <c r="E1176" s="196"/>
      <c r="F1176" s="196" t="s">
        <v>5</v>
      </c>
      <c r="G1176" s="197">
        <v>0.208333333333333</v>
      </c>
      <c r="H1176" s="198"/>
    </row>
    <row r="1177" spans="1:8">
      <c r="A1177" s="196" t="s">
        <v>6</v>
      </c>
      <c r="B1177" s="195" t="s">
        <v>7</v>
      </c>
      <c r="C1177" s="196"/>
      <c r="D1177" s="196"/>
      <c r="E1177" s="196"/>
      <c r="F1177" s="196" t="s">
        <v>8</v>
      </c>
      <c r="G1177" s="199">
        <v>0.875</v>
      </c>
      <c r="H1177" s="195"/>
    </row>
    <row r="1178" spans="1:8">
      <c r="A1178" s="196" t="s">
        <v>9</v>
      </c>
      <c r="B1178" s="195" t="s">
        <v>33</v>
      </c>
      <c r="C1178" s="196"/>
      <c r="D1178" s="196"/>
      <c r="E1178" s="196"/>
      <c r="F1178" s="196"/>
      <c r="G1178" s="196"/>
      <c r="H1178" s="195"/>
    </row>
    <row r="1179" ht="15.75" spans="1:8">
      <c r="A1179" s="189"/>
      <c r="B1179" s="195"/>
      <c r="C1179" s="196"/>
      <c r="D1179" s="196"/>
      <c r="E1179" s="196"/>
      <c r="F1179" s="196"/>
      <c r="G1179" s="200"/>
      <c r="H1179" s="201"/>
    </row>
    <row r="1180" ht="15.75" spans="1:8">
      <c r="A1180" s="202"/>
      <c r="B1180" s="202"/>
      <c r="C1180" s="202"/>
      <c r="D1180" s="202"/>
      <c r="E1180" s="202"/>
      <c r="F1180" s="202"/>
      <c r="G1180" s="202"/>
      <c r="H1180" s="202"/>
    </row>
    <row r="1181" ht="15.75" spans="1:8">
      <c r="A1181" s="203" t="s">
        <v>11</v>
      </c>
      <c r="B1181" s="203" t="s">
        <v>12</v>
      </c>
      <c r="C1181" s="203" t="s">
        <v>13</v>
      </c>
      <c r="D1181" s="203" t="s">
        <v>14</v>
      </c>
      <c r="E1181" s="203" t="s">
        <v>15</v>
      </c>
      <c r="F1181" s="203" t="s">
        <v>16</v>
      </c>
      <c r="G1181" s="203" t="s">
        <v>17</v>
      </c>
      <c r="H1181" s="203" t="s">
        <v>18</v>
      </c>
    </row>
    <row r="1182" ht="15.75" spans="1:8">
      <c r="A1182" s="204">
        <v>1</v>
      </c>
      <c r="B1182" s="205" t="s">
        <v>19</v>
      </c>
      <c r="C1182" s="206">
        <f>D1137</f>
        <v>44871</v>
      </c>
      <c r="D1182" s="206">
        <v>45234</v>
      </c>
      <c r="E1182" s="206">
        <f>D1182-C1182</f>
        <v>363</v>
      </c>
      <c r="F1182" s="207">
        <f>SUM(E1182:E1183)</f>
        <v>894</v>
      </c>
      <c r="G1182" s="208">
        <v>12200</v>
      </c>
      <c r="H1182" s="209">
        <f>F1182*G1182</f>
        <v>10906800</v>
      </c>
    </row>
    <row r="1183" ht="15.75" spans="1:8">
      <c r="A1183" s="210"/>
      <c r="B1183" s="205" t="s">
        <v>20</v>
      </c>
      <c r="C1183" s="206">
        <f>D1138</f>
        <v>48112</v>
      </c>
      <c r="D1183" s="206">
        <v>48643</v>
      </c>
      <c r="E1183" s="206">
        <f>D1183-C1183</f>
        <v>531</v>
      </c>
      <c r="F1183" s="207"/>
      <c r="G1183" s="211"/>
      <c r="H1183" s="209"/>
    </row>
    <row r="1184" ht="15.75" spans="1:8">
      <c r="A1184" s="210"/>
      <c r="B1184" s="205" t="s">
        <v>21</v>
      </c>
      <c r="C1184" s="206">
        <f>D1139</f>
        <v>6878</v>
      </c>
      <c r="D1184" s="206">
        <v>6878</v>
      </c>
      <c r="E1184" s="206">
        <f>D1184-C1184</f>
        <v>0</v>
      </c>
      <c r="F1184" s="207">
        <f>SUM(E1184:E1185)</f>
        <v>9</v>
      </c>
      <c r="G1184" s="209">
        <v>14500</v>
      </c>
      <c r="H1184" s="209">
        <f>G1184*F1184</f>
        <v>130500</v>
      </c>
    </row>
    <row r="1185" ht="15.75" spans="1:8">
      <c r="A1185" s="212"/>
      <c r="B1185" s="205" t="s">
        <v>22</v>
      </c>
      <c r="C1185" s="206">
        <f>D1140</f>
        <v>7367</v>
      </c>
      <c r="D1185" s="206">
        <v>7376</v>
      </c>
      <c r="E1185" s="206">
        <f>D1185-C1185</f>
        <v>9</v>
      </c>
      <c r="F1185" s="207"/>
      <c r="G1185" s="209"/>
      <c r="H1185" s="209"/>
    </row>
    <row r="1186" ht="15.75" spans="1:8">
      <c r="A1186" s="213"/>
      <c r="B1186" s="213"/>
      <c r="C1186" s="213"/>
      <c r="D1186" s="213"/>
      <c r="E1186" s="213"/>
      <c r="F1186" s="213"/>
      <c r="G1186" s="189" t="s">
        <v>23</v>
      </c>
      <c r="H1186" s="214">
        <f>H1182+H1184</f>
        <v>11037300</v>
      </c>
    </row>
    <row r="1187" spans="1:8">
      <c r="A1187" s="213" t="s">
        <v>24</v>
      </c>
      <c r="B1187" s="215">
        <f>H1196</f>
        <v>10562300</v>
      </c>
      <c r="C1187" s="213"/>
      <c r="D1187" s="213"/>
      <c r="E1187" s="213"/>
      <c r="F1187" s="213"/>
      <c r="G1187" s="196" t="s">
        <v>25</v>
      </c>
      <c r="H1187" s="216">
        <v>10000000</v>
      </c>
    </row>
    <row r="1188" ht="15.75" spans="1:8">
      <c r="A1188" s="213" t="s">
        <v>26</v>
      </c>
      <c r="B1188" s="217"/>
      <c r="C1188" s="202"/>
      <c r="D1188" s="213"/>
      <c r="E1188" s="213"/>
      <c r="F1188" s="213"/>
      <c r="G1188" s="196" t="s">
        <v>27</v>
      </c>
      <c r="H1188" s="218">
        <v>475000</v>
      </c>
    </row>
    <row r="1189" ht="15.75" spans="1:8">
      <c r="A1189" s="219" t="s">
        <v>18</v>
      </c>
      <c r="B1189" s="215">
        <f>SUM(B1187:B1188)</f>
        <v>10562300</v>
      </c>
      <c r="C1189" s="213"/>
      <c r="D1189" s="213"/>
      <c r="E1189" s="213"/>
      <c r="F1189" s="213"/>
      <c r="G1189" s="200" t="s">
        <v>28</v>
      </c>
      <c r="H1189" s="220">
        <f>H1186-H1187-H1188</f>
        <v>562300</v>
      </c>
    </row>
    <row r="1190" ht="15.75" spans="1:8">
      <c r="A1190" s="202"/>
      <c r="C1190" s="202"/>
      <c r="D1190" s="202"/>
      <c r="E1190" s="202"/>
      <c r="F1190" s="202"/>
      <c r="G1190" s="202"/>
      <c r="H1190" s="202"/>
    </row>
    <row r="1191" ht="15.75" spans="1:8">
      <c r="A1191" s="202"/>
      <c r="B1191" s="202"/>
      <c r="C1191" s="202"/>
      <c r="D1191" s="202"/>
      <c r="E1191" s="202"/>
      <c r="F1191" s="202"/>
      <c r="G1191" s="202"/>
      <c r="H1191" s="202"/>
    </row>
    <row r="1192" ht="15.75" spans="1:8">
      <c r="A1192" s="221" t="s">
        <v>23</v>
      </c>
      <c r="B1192" s="222"/>
      <c r="C1192" s="202"/>
      <c r="D1192" s="202"/>
      <c r="E1192" s="202"/>
      <c r="F1192" s="202"/>
      <c r="G1192" s="202"/>
      <c r="H1192" s="202"/>
    </row>
    <row r="1193" ht="15.75" spans="1:8">
      <c r="A1193" s="205" t="s">
        <v>29</v>
      </c>
      <c r="B1193" s="223">
        <f>F1182</f>
        <v>894</v>
      </c>
      <c r="C1193" s="202"/>
      <c r="D1193" s="202"/>
      <c r="E1193" s="202"/>
      <c r="F1193" s="224" t="s">
        <v>30</v>
      </c>
      <c r="G1193" s="224"/>
      <c r="H1193" s="225">
        <f>H1186</f>
        <v>11037300</v>
      </c>
    </row>
    <row r="1194" ht="15.75" spans="1:8">
      <c r="A1194" s="205" t="s">
        <v>31</v>
      </c>
      <c r="B1194" s="223">
        <f>F1184</f>
        <v>9</v>
      </c>
      <c r="C1194" s="202"/>
      <c r="D1194" s="202"/>
      <c r="E1194" s="202"/>
      <c r="F1194" s="224" t="s">
        <v>27</v>
      </c>
      <c r="G1194" s="224"/>
      <c r="H1194" s="225">
        <f>H1188</f>
        <v>475000</v>
      </c>
    </row>
    <row r="1195" ht="15.75" spans="1:8">
      <c r="A1195" s="189"/>
      <c r="B1195" s="226"/>
      <c r="C1195" s="202"/>
      <c r="D1195" s="202"/>
      <c r="E1195" s="202"/>
      <c r="F1195" s="224" t="s">
        <v>26</v>
      </c>
      <c r="G1195" s="224"/>
      <c r="H1195" s="227">
        <f>B1188</f>
        <v>0</v>
      </c>
    </row>
    <row r="1196" ht="15.75" spans="1:8">
      <c r="A1196" s="228"/>
      <c r="B1196" s="226"/>
      <c r="C1196" s="202"/>
      <c r="D1196" s="202"/>
      <c r="E1196" s="202"/>
      <c r="F1196" s="224" t="s">
        <v>28</v>
      </c>
      <c r="G1196" s="224"/>
      <c r="H1196" s="225">
        <f>H1193-H1194-H1195</f>
        <v>10562300</v>
      </c>
    </row>
    <row r="1198" ht="15.75" spans="1:8">
      <c r="A1198" s="229"/>
      <c r="B1198" s="230"/>
      <c r="C1198" s="231"/>
      <c r="D1198" s="231"/>
      <c r="E1198" s="229"/>
      <c r="F1198" s="231"/>
      <c r="G1198" s="230"/>
      <c r="H1198" s="230"/>
    </row>
    <row r="1199" spans="1:8">
      <c r="A1199" s="232"/>
      <c r="B1199" s="233"/>
      <c r="C1199" s="238"/>
      <c r="D1199" s="238"/>
      <c r="E1199" s="232"/>
      <c r="F1199" s="233"/>
      <c r="G1199" s="234"/>
      <c r="H1199" s="234"/>
    </row>
    <row r="1200" spans="1:8">
      <c r="A1200" s="232"/>
      <c r="B1200" s="233"/>
      <c r="C1200" s="238"/>
      <c r="D1200" s="238"/>
      <c r="E1200" s="232"/>
      <c r="F1200" s="233"/>
      <c r="G1200" s="234"/>
      <c r="H1200" s="234"/>
    </row>
    <row r="1201" spans="1:8">
      <c r="A1201" s="232"/>
      <c r="B1201" s="233"/>
      <c r="C1201" s="238"/>
      <c r="D1201" s="238"/>
      <c r="E1201" s="232"/>
      <c r="F1201" s="233"/>
      <c r="G1201" s="234"/>
      <c r="H1201" s="234"/>
    </row>
    <row r="1202" spans="1:8">
      <c r="A1202" s="232"/>
      <c r="B1202" s="233"/>
      <c r="C1202" s="238"/>
      <c r="D1202" s="238"/>
      <c r="E1202" s="232"/>
      <c r="F1202" s="233"/>
      <c r="G1202" s="234"/>
      <c r="H1202" s="234"/>
    </row>
    <row r="1203" spans="1:8">
      <c r="A1203" s="232"/>
      <c r="B1203" s="233"/>
      <c r="C1203" s="238"/>
      <c r="D1203" s="238"/>
      <c r="E1203" s="232"/>
      <c r="F1203" s="233"/>
      <c r="G1203" s="234"/>
      <c r="H1203" s="234"/>
    </row>
    <row r="1204" spans="1:8">
      <c r="A1204" s="232"/>
      <c r="B1204" s="233"/>
      <c r="C1204" s="238"/>
      <c r="D1204" s="238"/>
      <c r="E1204" s="232"/>
      <c r="F1204" s="233"/>
      <c r="G1204" s="234"/>
      <c r="H1204" s="234"/>
    </row>
    <row r="1205" spans="1:8">
      <c r="A1205" s="232"/>
      <c r="B1205" s="233"/>
      <c r="C1205" s="240"/>
      <c r="D1205" s="240"/>
      <c r="E1205" s="236"/>
      <c r="F1205" s="236"/>
      <c r="G1205" s="237"/>
      <c r="H1205" s="237"/>
    </row>
    <row r="1206" spans="1:8">
      <c r="A1206" s="109"/>
      <c r="B1206" s="109"/>
      <c r="C1206" s="109"/>
      <c r="D1206" s="109"/>
      <c r="E1206" s="109"/>
      <c r="F1206" s="109"/>
      <c r="G1206" s="109"/>
      <c r="H1206" s="109"/>
    </row>
    <row r="1216" ht="18" spans="1:8">
      <c r="A1216" s="109"/>
      <c r="B1216" s="109"/>
      <c r="C1216" s="184" t="s">
        <v>0</v>
      </c>
      <c r="D1216" s="184"/>
      <c r="E1216" s="184"/>
      <c r="F1216" s="184"/>
      <c r="G1216" s="184"/>
      <c r="H1216" s="184"/>
    </row>
    <row r="1217" ht="18" spans="1:8">
      <c r="A1217" s="185"/>
      <c r="B1217" s="185"/>
      <c r="C1217" s="186" t="s">
        <v>1</v>
      </c>
      <c r="D1217" s="186"/>
      <c r="E1217" s="186"/>
      <c r="F1217" s="186"/>
      <c r="G1217" s="186"/>
      <c r="H1217" s="186"/>
    </row>
    <row r="1218" ht="18" spans="1:8">
      <c r="A1218" s="187"/>
      <c r="B1218" s="187"/>
      <c r="C1218" s="188" t="s">
        <v>2</v>
      </c>
      <c r="D1218" s="188"/>
      <c r="E1218" s="188"/>
      <c r="F1218" s="188"/>
      <c r="G1218" s="188"/>
      <c r="H1218" s="188"/>
    </row>
    <row r="1219" ht="15.75" spans="1:8">
      <c r="A1219" s="187"/>
      <c r="B1219" s="189"/>
      <c r="C1219" s="190"/>
      <c r="D1219" s="190"/>
      <c r="E1219" s="190"/>
      <c r="F1219" s="191"/>
      <c r="G1219" s="192"/>
      <c r="H1219" s="192"/>
    </row>
    <row r="1220" ht="15.75" spans="1:8">
      <c r="A1220" s="187"/>
      <c r="B1220" s="189"/>
      <c r="C1220" s="190"/>
      <c r="D1220" s="190"/>
      <c r="E1220" s="190"/>
      <c r="F1220" s="193"/>
      <c r="G1220" s="194"/>
      <c r="H1220" s="195"/>
    </row>
    <row r="1221" ht="15.75" spans="1:8">
      <c r="A1221" s="196" t="s">
        <v>3</v>
      </c>
      <c r="B1221" s="196"/>
      <c r="C1221" s="196"/>
      <c r="D1221" s="196"/>
      <c r="E1221" s="196"/>
      <c r="F1221" s="196" t="s">
        <v>5</v>
      </c>
      <c r="G1221" s="189"/>
      <c r="H1221" s="198"/>
    </row>
    <row r="1222" spans="1:8">
      <c r="A1222" s="196" t="s">
        <v>6</v>
      </c>
      <c r="B1222" s="195"/>
      <c r="C1222" s="196"/>
      <c r="D1222" s="196"/>
      <c r="E1222" s="196"/>
      <c r="F1222" s="196" t="s">
        <v>8</v>
      </c>
      <c r="G1222" s="196"/>
      <c r="H1222" s="195"/>
    </row>
    <row r="1223" spans="1:8">
      <c r="A1223" s="196" t="s">
        <v>9</v>
      </c>
      <c r="B1223" s="195"/>
      <c r="C1223" s="196"/>
      <c r="D1223" s="196"/>
      <c r="E1223" s="196"/>
      <c r="F1223" s="196"/>
      <c r="G1223" s="196"/>
      <c r="H1223" s="195"/>
    </row>
    <row r="1224" ht="15.75" spans="1:8">
      <c r="A1224" s="189"/>
      <c r="B1224" s="195"/>
      <c r="C1224" s="196"/>
      <c r="D1224" s="196"/>
      <c r="E1224" s="196"/>
      <c r="F1224" s="196"/>
      <c r="G1224" s="200"/>
      <c r="H1224" s="201"/>
    </row>
    <row r="1225" ht="15.75" spans="1:8">
      <c r="A1225" s="202"/>
      <c r="B1225" s="202" t="s">
        <v>50</v>
      </c>
      <c r="C1225" s="202"/>
      <c r="D1225" s="202"/>
      <c r="E1225" s="202"/>
      <c r="F1225" s="202"/>
      <c r="G1225" s="202"/>
      <c r="H1225" s="202"/>
    </row>
    <row r="1226" ht="15.75" spans="1:8">
      <c r="A1226" s="203" t="s">
        <v>11</v>
      </c>
      <c r="B1226" s="203" t="s">
        <v>12</v>
      </c>
      <c r="C1226" s="203" t="s">
        <v>13</v>
      </c>
      <c r="D1226" s="203" t="s">
        <v>14</v>
      </c>
      <c r="E1226" s="203" t="s">
        <v>15</v>
      </c>
      <c r="F1226" s="203" t="s">
        <v>16</v>
      </c>
      <c r="G1226" s="203" t="s">
        <v>17</v>
      </c>
      <c r="H1226" s="203" t="s">
        <v>18</v>
      </c>
    </row>
    <row r="1227" ht="15.75" spans="1:8">
      <c r="A1227" s="204">
        <v>1</v>
      </c>
      <c r="B1227" s="205" t="s">
        <v>19</v>
      </c>
      <c r="C1227" s="206">
        <f>D1182</f>
        <v>45234</v>
      </c>
      <c r="D1227" s="206"/>
      <c r="E1227" s="206">
        <f>D1227-C1227</f>
        <v>-45234</v>
      </c>
      <c r="F1227" s="207">
        <f>SUM(E1227:E1228)</f>
        <v>-93877</v>
      </c>
      <c r="G1227" s="208">
        <v>12200</v>
      </c>
      <c r="H1227" s="209">
        <f>F1227*G1227</f>
        <v>-1145299400</v>
      </c>
    </row>
    <row r="1228" ht="15.75" spans="1:8">
      <c r="A1228" s="210"/>
      <c r="B1228" s="205" t="s">
        <v>20</v>
      </c>
      <c r="C1228" s="206">
        <f>D1183</f>
        <v>48643</v>
      </c>
      <c r="D1228" s="206"/>
      <c r="E1228" s="206">
        <f>D1228-C1228</f>
        <v>-48643</v>
      </c>
      <c r="F1228" s="207"/>
      <c r="G1228" s="211"/>
      <c r="H1228" s="209"/>
    </row>
    <row r="1229" ht="15.75" spans="1:8">
      <c r="A1229" s="210"/>
      <c r="B1229" s="205" t="s">
        <v>21</v>
      </c>
      <c r="C1229" s="206">
        <f>D1184</f>
        <v>6878</v>
      </c>
      <c r="D1229" s="206"/>
      <c r="E1229" s="206">
        <f>D1229-C1229</f>
        <v>-6878</v>
      </c>
      <c r="F1229" s="207">
        <f>SUM(E1229:E1230)</f>
        <v>-14254</v>
      </c>
      <c r="G1229" s="209">
        <v>14500</v>
      </c>
      <c r="H1229" s="209">
        <f>G1229*F1229</f>
        <v>-206683000</v>
      </c>
    </row>
    <row r="1230" ht="15.75" spans="1:8">
      <c r="A1230" s="212"/>
      <c r="B1230" s="205" t="s">
        <v>22</v>
      </c>
      <c r="C1230" s="206">
        <f>D1185</f>
        <v>7376</v>
      </c>
      <c r="D1230" s="206"/>
      <c r="E1230" s="206">
        <f>D1230-C1230</f>
        <v>-7376</v>
      </c>
      <c r="F1230" s="207"/>
      <c r="G1230" s="209"/>
      <c r="H1230" s="209"/>
    </row>
    <row r="1231" ht="15.75" spans="1:8">
      <c r="A1231" s="213"/>
      <c r="B1231" s="213"/>
      <c r="C1231" s="213"/>
      <c r="D1231" s="213"/>
      <c r="E1231" s="213"/>
      <c r="F1231" s="213"/>
      <c r="G1231" s="189" t="s">
        <v>23</v>
      </c>
      <c r="H1231" s="214">
        <f>H1227+H1229</f>
        <v>-1351982400</v>
      </c>
    </row>
    <row r="1232" spans="1:8">
      <c r="A1232" s="213" t="s">
        <v>24</v>
      </c>
      <c r="B1232" s="215">
        <f>H1241</f>
        <v>-1351982400</v>
      </c>
      <c r="C1232" s="213" t="s">
        <v>35</v>
      </c>
      <c r="D1232" s="213"/>
      <c r="E1232" s="213"/>
      <c r="F1232" s="213"/>
      <c r="G1232" s="196" t="s">
        <v>25</v>
      </c>
      <c r="H1232" s="216"/>
    </row>
    <row r="1233" ht="15.75" spans="1:8">
      <c r="A1233" s="213" t="s">
        <v>26</v>
      </c>
      <c r="B1233" s="217"/>
      <c r="C1233" s="202"/>
      <c r="D1233" s="213"/>
      <c r="E1233" s="213"/>
      <c r="F1233" s="213"/>
      <c r="G1233" s="196" t="s">
        <v>27</v>
      </c>
      <c r="H1233" s="218"/>
    </row>
    <row r="1234" ht="15.75" spans="1:8">
      <c r="A1234" s="219" t="s">
        <v>18</v>
      </c>
      <c r="B1234" s="215">
        <f>SUM(B1232:B1233)</f>
        <v>-1351982400</v>
      </c>
      <c r="C1234" s="213"/>
      <c r="D1234" s="213"/>
      <c r="E1234" s="213"/>
      <c r="F1234" s="213"/>
      <c r="G1234" s="200" t="s">
        <v>28</v>
      </c>
      <c r="H1234" s="220">
        <f>H1231-H1232-H1233</f>
        <v>-1351982400</v>
      </c>
    </row>
    <row r="1235" ht="15.75" spans="1:8">
      <c r="A1235" s="202"/>
      <c r="C1235" s="202"/>
      <c r="D1235" s="202"/>
      <c r="E1235" s="202"/>
      <c r="F1235" s="202"/>
      <c r="G1235" s="202"/>
      <c r="H1235" s="202"/>
    </row>
    <row r="1236" ht="15.75" spans="1:8">
      <c r="A1236" s="202"/>
      <c r="B1236" s="202"/>
      <c r="C1236" s="202"/>
      <c r="D1236" s="202"/>
      <c r="E1236" s="202"/>
      <c r="F1236" s="202"/>
      <c r="G1236" s="202"/>
      <c r="H1236" s="202"/>
    </row>
    <row r="1237" ht="15.75" spans="1:8">
      <c r="A1237" s="221" t="s">
        <v>23</v>
      </c>
      <c r="B1237" s="222"/>
      <c r="C1237" s="202"/>
      <c r="D1237" s="202"/>
      <c r="E1237" s="202"/>
      <c r="F1237" s="202"/>
      <c r="G1237" s="202"/>
      <c r="H1237" s="202"/>
    </row>
    <row r="1238" ht="15.75" spans="1:8">
      <c r="A1238" s="205" t="s">
        <v>29</v>
      </c>
      <c r="B1238" s="223">
        <f>F1227</f>
        <v>-93877</v>
      </c>
      <c r="C1238" s="202"/>
      <c r="D1238" s="202"/>
      <c r="E1238" s="202"/>
      <c r="F1238" s="224" t="s">
        <v>30</v>
      </c>
      <c r="G1238" s="224"/>
      <c r="H1238" s="225">
        <f>H1231</f>
        <v>-1351982400</v>
      </c>
    </row>
    <row r="1239" ht="15.75" spans="1:8">
      <c r="A1239" s="205" t="s">
        <v>31</v>
      </c>
      <c r="B1239" s="223">
        <f>F1229</f>
        <v>-14254</v>
      </c>
      <c r="C1239" s="202"/>
      <c r="D1239" s="202"/>
      <c r="E1239" s="202"/>
      <c r="F1239" s="224" t="s">
        <v>27</v>
      </c>
      <c r="G1239" s="224"/>
      <c r="H1239" s="225">
        <f>H1233</f>
        <v>0</v>
      </c>
    </row>
    <row r="1240" ht="15.75" spans="1:8">
      <c r="A1240" s="189"/>
      <c r="B1240" s="226"/>
      <c r="C1240" s="202" t="s">
        <v>35</v>
      </c>
      <c r="D1240" s="202"/>
      <c r="E1240" s="202"/>
      <c r="F1240" s="224" t="s">
        <v>26</v>
      </c>
      <c r="G1240" s="224"/>
      <c r="H1240" s="227">
        <f>B1233</f>
        <v>0</v>
      </c>
    </row>
    <row r="1241" ht="15.75" spans="1:8">
      <c r="A1241" s="228"/>
      <c r="B1241" s="226"/>
      <c r="C1241" s="202"/>
      <c r="D1241" s="202"/>
      <c r="E1241" s="202"/>
      <c r="F1241" s="224" t="s">
        <v>28</v>
      </c>
      <c r="G1241" s="224"/>
      <c r="H1241" s="225">
        <f>H1238-H1239-H1240</f>
        <v>-1351982400</v>
      </c>
    </row>
    <row r="1243" ht="15.75" spans="1:8">
      <c r="A1243" s="229"/>
      <c r="B1243" s="230"/>
      <c r="C1243" s="230"/>
      <c r="D1243" s="230"/>
      <c r="E1243" s="229"/>
      <c r="F1243" s="231"/>
      <c r="G1243" s="230"/>
      <c r="H1243" s="230"/>
    </row>
    <row r="1244" spans="1:8">
      <c r="A1244" s="232"/>
      <c r="B1244" s="233"/>
      <c r="C1244" s="234"/>
      <c r="D1244" s="234"/>
      <c r="E1244" s="232"/>
      <c r="F1244" s="233"/>
      <c r="G1244" s="234"/>
      <c r="H1244" s="234"/>
    </row>
    <row r="1245" spans="1:8">
      <c r="A1245" s="232"/>
      <c r="B1245" s="233"/>
      <c r="C1245" s="234"/>
      <c r="D1245" s="234"/>
      <c r="E1245" s="232"/>
      <c r="F1245" s="233"/>
      <c r="G1245" s="234"/>
      <c r="H1245" s="234"/>
    </row>
    <row r="1246" spans="1:8">
      <c r="A1246" s="232"/>
      <c r="B1246" s="233"/>
      <c r="C1246" s="234"/>
      <c r="D1246" s="234"/>
      <c r="E1246" s="232"/>
      <c r="F1246" s="233"/>
      <c r="G1246" s="234"/>
      <c r="H1246" s="234"/>
    </row>
    <row r="1247" spans="1:8">
      <c r="A1247" s="232"/>
      <c r="B1247" s="233"/>
      <c r="C1247" s="234"/>
      <c r="D1247" s="234"/>
      <c r="E1247" s="232"/>
      <c r="F1247" s="233"/>
      <c r="G1247" s="234"/>
      <c r="H1247" s="234"/>
    </row>
    <row r="1248" spans="1:8">
      <c r="A1248" s="232"/>
      <c r="B1248" s="233"/>
      <c r="C1248" s="234"/>
      <c r="D1248" s="234"/>
      <c r="E1248" s="232"/>
      <c r="F1248" s="233"/>
      <c r="G1248" s="234"/>
      <c r="H1248" s="234"/>
    </row>
    <row r="1249" spans="1:8">
      <c r="A1249" s="232"/>
      <c r="B1249" s="233"/>
      <c r="C1249" s="234"/>
      <c r="D1249" s="234"/>
      <c r="E1249" s="232"/>
      <c r="F1249" s="233"/>
      <c r="G1249" s="234"/>
      <c r="H1249" s="234"/>
    </row>
    <row r="1250" spans="1:8">
      <c r="A1250" s="232"/>
      <c r="B1250" s="233"/>
      <c r="C1250" s="235"/>
      <c r="D1250" s="235"/>
      <c r="E1250" s="236"/>
      <c r="F1250" s="236"/>
      <c r="G1250" s="237"/>
      <c r="H1250" s="237"/>
    </row>
    <row r="1251" spans="1:8">
      <c r="A1251" s="109"/>
      <c r="B1251" s="109"/>
      <c r="C1251" s="109"/>
      <c r="D1251" s="109"/>
      <c r="E1251" s="109"/>
      <c r="F1251" s="109"/>
      <c r="G1251" s="109"/>
      <c r="H1251" s="109"/>
    </row>
    <row r="1261" ht="18" spans="1:8">
      <c r="A1261" s="109"/>
      <c r="B1261" s="109"/>
      <c r="C1261" s="184" t="s">
        <v>0</v>
      </c>
      <c r="D1261" s="184"/>
      <c r="E1261" s="184"/>
      <c r="F1261" s="184"/>
      <c r="G1261" s="184"/>
      <c r="H1261" s="184"/>
    </row>
    <row r="1262" ht="18" spans="1:8">
      <c r="A1262" s="185"/>
      <c r="B1262" s="185"/>
      <c r="C1262" s="186" t="s">
        <v>1</v>
      </c>
      <c r="D1262" s="186"/>
      <c r="E1262" s="186"/>
      <c r="F1262" s="186"/>
      <c r="G1262" s="186"/>
      <c r="H1262" s="186"/>
    </row>
    <row r="1263" ht="18" spans="1:8">
      <c r="A1263" s="187"/>
      <c r="B1263" s="187"/>
      <c r="C1263" s="188" t="s">
        <v>2</v>
      </c>
      <c r="D1263" s="188"/>
      <c r="E1263" s="188"/>
      <c r="F1263" s="188"/>
      <c r="G1263" s="188"/>
      <c r="H1263" s="188"/>
    </row>
    <row r="1264" ht="15.75" spans="1:8">
      <c r="A1264" s="187"/>
      <c r="B1264" s="189"/>
      <c r="C1264" s="190"/>
      <c r="D1264" s="190"/>
      <c r="E1264" s="190"/>
      <c r="F1264" s="191"/>
      <c r="G1264" s="192"/>
      <c r="H1264" s="192"/>
    </row>
    <row r="1265" ht="15.75" spans="1:8">
      <c r="A1265" s="187"/>
      <c r="B1265" s="189"/>
      <c r="C1265" s="190"/>
      <c r="D1265" s="190"/>
      <c r="E1265" s="190"/>
      <c r="F1265" s="193"/>
      <c r="G1265" s="194"/>
      <c r="H1265" s="195"/>
    </row>
    <row r="1266" ht="15.75" spans="1:8">
      <c r="A1266" s="196" t="s">
        <v>3</v>
      </c>
      <c r="B1266" s="196"/>
      <c r="C1266" s="196"/>
      <c r="D1266" s="196"/>
      <c r="E1266" s="196"/>
      <c r="F1266" s="196" t="s">
        <v>5</v>
      </c>
      <c r="G1266" s="189"/>
      <c r="H1266" s="198"/>
    </row>
    <row r="1267" spans="1:8">
      <c r="A1267" s="196" t="s">
        <v>6</v>
      </c>
      <c r="B1267" s="195"/>
      <c r="C1267" s="196"/>
      <c r="D1267" s="196"/>
      <c r="E1267" s="196"/>
      <c r="F1267" s="196" t="s">
        <v>8</v>
      </c>
      <c r="G1267" s="196"/>
      <c r="H1267" s="195"/>
    </row>
    <row r="1268" spans="1:8">
      <c r="A1268" s="196" t="s">
        <v>9</v>
      </c>
      <c r="B1268" s="195"/>
      <c r="C1268" s="196"/>
      <c r="D1268" s="196"/>
      <c r="E1268" s="196"/>
      <c r="F1268" s="196"/>
      <c r="G1268" s="196"/>
      <c r="H1268" s="195"/>
    </row>
    <row r="1269" ht="15.75" spans="1:8">
      <c r="A1269" s="189"/>
      <c r="B1269" s="195"/>
      <c r="C1269" s="196"/>
      <c r="D1269" s="196"/>
      <c r="E1269" s="196"/>
      <c r="F1269" s="196"/>
      <c r="G1269" s="200"/>
      <c r="H1269" s="201"/>
    </row>
    <row r="1270" ht="15.75" spans="1:8">
      <c r="A1270" s="202"/>
      <c r="B1270" s="202"/>
      <c r="C1270" s="202"/>
      <c r="D1270" s="202"/>
      <c r="E1270" s="202"/>
      <c r="F1270" s="202"/>
      <c r="G1270" s="202"/>
      <c r="H1270" s="202"/>
    </row>
    <row r="1271" ht="15.75" spans="1:8">
      <c r="A1271" s="203" t="s">
        <v>11</v>
      </c>
      <c r="B1271" s="203" t="s">
        <v>12</v>
      </c>
      <c r="C1271" s="203" t="s">
        <v>13</v>
      </c>
      <c r="D1271" s="203" t="s">
        <v>14</v>
      </c>
      <c r="E1271" s="203" t="s">
        <v>15</v>
      </c>
      <c r="F1271" s="203" t="s">
        <v>16</v>
      </c>
      <c r="G1271" s="203" t="s">
        <v>17</v>
      </c>
      <c r="H1271" s="203" t="s">
        <v>18</v>
      </c>
    </row>
    <row r="1272" ht="15.75" spans="1:8">
      <c r="A1272" s="204">
        <v>1</v>
      </c>
      <c r="B1272" s="205" t="s">
        <v>19</v>
      </c>
      <c r="C1272" s="206">
        <f>D1227</f>
        <v>0</v>
      </c>
      <c r="D1272" s="206"/>
      <c r="E1272" s="206">
        <f>D1272-C1272</f>
        <v>0</v>
      </c>
      <c r="F1272" s="207">
        <f>SUM(E1272:E1273)</f>
        <v>0</v>
      </c>
      <c r="G1272" s="208">
        <v>12200</v>
      </c>
      <c r="H1272" s="209">
        <f>F1272*G1272</f>
        <v>0</v>
      </c>
    </row>
    <row r="1273" ht="15.75" spans="1:8">
      <c r="A1273" s="210"/>
      <c r="B1273" s="205" t="s">
        <v>20</v>
      </c>
      <c r="C1273" s="206">
        <f>D1228</f>
        <v>0</v>
      </c>
      <c r="D1273" s="206"/>
      <c r="E1273" s="206">
        <f>D1273-C1273</f>
        <v>0</v>
      </c>
      <c r="F1273" s="207"/>
      <c r="G1273" s="211"/>
      <c r="H1273" s="209"/>
    </row>
    <row r="1274" ht="15.75" spans="1:8">
      <c r="A1274" s="210"/>
      <c r="B1274" s="205" t="s">
        <v>21</v>
      </c>
      <c r="C1274" s="206">
        <f>D1229</f>
        <v>0</v>
      </c>
      <c r="D1274" s="206"/>
      <c r="E1274" s="206">
        <f>D1274-C1274</f>
        <v>0</v>
      </c>
      <c r="F1274" s="207">
        <f>SUM(E1274:E1275)</f>
        <v>0</v>
      </c>
      <c r="G1274" s="209">
        <v>14500</v>
      </c>
      <c r="H1274" s="209">
        <f>G1274*F1274</f>
        <v>0</v>
      </c>
    </row>
    <row r="1275" ht="15.75" spans="1:8">
      <c r="A1275" s="212"/>
      <c r="B1275" s="205" t="s">
        <v>22</v>
      </c>
      <c r="C1275" s="206">
        <f>D1230</f>
        <v>0</v>
      </c>
      <c r="D1275" s="206"/>
      <c r="E1275" s="206">
        <f>D1275-C1275</f>
        <v>0</v>
      </c>
      <c r="F1275" s="207"/>
      <c r="G1275" s="209"/>
      <c r="H1275" s="209"/>
    </row>
    <row r="1276" ht="15.75" spans="1:8">
      <c r="A1276" s="213"/>
      <c r="B1276" s="213"/>
      <c r="C1276" s="213"/>
      <c r="D1276" s="213"/>
      <c r="E1276" s="213"/>
      <c r="F1276" s="213"/>
      <c r="G1276" s="189" t="s">
        <v>23</v>
      </c>
      <c r="H1276" s="214">
        <f>H1272+H1274</f>
        <v>0</v>
      </c>
    </row>
    <row r="1277" spans="1:8">
      <c r="A1277" s="213" t="s">
        <v>24</v>
      </c>
      <c r="B1277" s="215">
        <f>H1286</f>
        <v>0</v>
      </c>
      <c r="C1277" s="213"/>
      <c r="D1277" s="213"/>
      <c r="E1277" s="213"/>
      <c r="F1277" s="213"/>
      <c r="G1277" s="196" t="s">
        <v>25</v>
      </c>
      <c r="H1277" s="216"/>
    </row>
    <row r="1278" ht="15.75" spans="1:8">
      <c r="A1278" s="213" t="s">
        <v>26</v>
      </c>
      <c r="B1278" s="217"/>
      <c r="C1278" s="202"/>
      <c r="D1278" s="213"/>
      <c r="E1278" s="213"/>
      <c r="F1278" s="213"/>
      <c r="G1278" s="196" t="s">
        <v>27</v>
      </c>
      <c r="H1278" s="218"/>
    </row>
    <row r="1279" ht="15.75" spans="1:8">
      <c r="A1279" s="219" t="s">
        <v>18</v>
      </c>
      <c r="B1279" s="215">
        <f>SUM(B1277:B1278)</f>
        <v>0</v>
      </c>
      <c r="C1279" s="213"/>
      <c r="D1279" s="213"/>
      <c r="E1279" s="213"/>
      <c r="F1279" s="213"/>
      <c r="G1279" s="200" t="s">
        <v>28</v>
      </c>
      <c r="H1279" s="220">
        <f>H1276-H1277-H1278</f>
        <v>0</v>
      </c>
    </row>
    <row r="1280" ht="15.75" spans="1:8">
      <c r="A1280" s="202"/>
      <c r="C1280" s="202"/>
      <c r="D1280" s="202"/>
      <c r="E1280" s="202"/>
      <c r="F1280" s="202"/>
      <c r="G1280" s="202"/>
      <c r="H1280" s="202"/>
    </row>
    <row r="1281" ht="15.75" spans="1:8">
      <c r="A1281" s="202"/>
      <c r="B1281" s="202"/>
      <c r="C1281" s="202"/>
      <c r="D1281" s="202"/>
      <c r="E1281" s="202"/>
      <c r="F1281" s="202"/>
      <c r="G1281" s="202"/>
      <c r="H1281" s="202"/>
    </row>
    <row r="1282" ht="15.75" spans="1:8">
      <c r="A1282" s="221" t="s">
        <v>23</v>
      </c>
      <c r="B1282" s="222"/>
      <c r="C1282" s="202"/>
      <c r="D1282" s="202"/>
      <c r="E1282" s="202"/>
      <c r="F1282" s="202"/>
      <c r="G1282" s="202"/>
      <c r="H1282" s="202"/>
    </row>
    <row r="1283" ht="15.75" spans="1:8">
      <c r="A1283" s="205" t="s">
        <v>29</v>
      </c>
      <c r="B1283" s="223">
        <f>F1272</f>
        <v>0</v>
      </c>
      <c r="C1283" s="202"/>
      <c r="D1283" s="202"/>
      <c r="E1283" s="202"/>
      <c r="F1283" s="224" t="s">
        <v>30</v>
      </c>
      <c r="G1283" s="224"/>
      <c r="H1283" s="225">
        <f>H1276</f>
        <v>0</v>
      </c>
    </row>
    <row r="1284" ht="15.75" spans="1:8">
      <c r="A1284" s="205" t="s">
        <v>31</v>
      </c>
      <c r="B1284" s="223">
        <f>F1274</f>
        <v>0</v>
      </c>
      <c r="C1284" s="202"/>
      <c r="D1284" s="202"/>
      <c r="E1284" s="202"/>
      <c r="F1284" s="224" t="s">
        <v>27</v>
      </c>
      <c r="G1284" s="224"/>
      <c r="H1284" s="225">
        <f>H1278</f>
        <v>0</v>
      </c>
    </row>
    <row r="1285" ht="15.75" spans="1:8">
      <c r="A1285" s="189"/>
      <c r="B1285" s="226"/>
      <c r="C1285" s="202"/>
      <c r="D1285" s="202"/>
      <c r="E1285" s="202"/>
      <c r="F1285" s="224" t="s">
        <v>26</v>
      </c>
      <c r="G1285" s="224"/>
      <c r="H1285" s="227">
        <f>B1278</f>
        <v>0</v>
      </c>
    </row>
    <row r="1286" ht="15.75" spans="1:8">
      <c r="A1286" s="228"/>
      <c r="B1286" s="226"/>
      <c r="C1286" s="202"/>
      <c r="D1286" s="202"/>
      <c r="E1286" s="202"/>
      <c r="F1286" s="224" t="s">
        <v>28</v>
      </c>
      <c r="G1286" s="224"/>
      <c r="H1286" s="225">
        <f>H1283-H1284-H1285</f>
        <v>0</v>
      </c>
    </row>
    <row r="1288" ht="15.75" spans="1:8">
      <c r="A1288" s="229"/>
      <c r="B1288" s="230"/>
      <c r="C1288" s="230"/>
      <c r="D1288" s="230"/>
      <c r="E1288" s="229"/>
      <c r="F1288" s="231"/>
      <c r="G1288" s="230"/>
      <c r="H1288" s="230"/>
    </row>
    <row r="1289" spans="1:8">
      <c r="A1289" s="232"/>
      <c r="B1289" s="233"/>
      <c r="C1289" s="234"/>
      <c r="D1289" s="234"/>
      <c r="E1289" s="232"/>
      <c r="F1289" s="233"/>
      <c r="G1289" s="234"/>
      <c r="H1289" s="234"/>
    </row>
    <row r="1290" spans="1:8">
      <c r="A1290" s="232"/>
      <c r="B1290" s="233"/>
      <c r="C1290" s="234"/>
      <c r="D1290" s="234"/>
      <c r="E1290" s="232"/>
      <c r="F1290" s="233"/>
      <c r="G1290" s="234"/>
      <c r="H1290" s="234"/>
    </row>
    <row r="1291" spans="1:8">
      <c r="A1291" s="232"/>
      <c r="B1291" s="233"/>
      <c r="C1291" s="234"/>
      <c r="D1291" s="234"/>
      <c r="E1291" s="232"/>
      <c r="F1291" s="233"/>
      <c r="G1291" s="234"/>
      <c r="H1291" s="234"/>
    </row>
    <row r="1292" spans="1:8">
      <c r="A1292" s="232"/>
      <c r="B1292" s="233"/>
      <c r="C1292" s="234"/>
      <c r="D1292" s="234"/>
      <c r="E1292" s="232"/>
      <c r="F1292" s="233"/>
      <c r="G1292" s="234"/>
      <c r="H1292" s="234"/>
    </row>
    <row r="1293" spans="1:8">
      <c r="A1293" s="232"/>
      <c r="B1293" s="233"/>
      <c r="C1293" s="234"/>
      <c r="D1293" s="234"/>
      <c r="E1293" s="232"/>
      <c r="F1293" s="233"/>
      <c r="G1293" s="234"/>
      <c r="H1293" s="234"/>
    </row>
    <row r="1294" spans="1:8">
      <c r="A1294" s="232"/>
      <c r="B1294" s="233"/>
      <c r="C1294" s="234"/>
      <c r="D1294" s="234"/>
      <c r="E1294" s="232"/>
      <c r="F1294" s="233"/>
      <c r="G1294" s="234"/>
      <c r="H1294" s="234"/>
    </row>
    <row r="1295" spans="1:8">
      <c r="A1295" s="232"/>
      <c r="B1295" s="233"/>
      <c r="C1295" s="235"/>
      <c r="D1295" s="235"/>
      <c r="E1295" s="236"/>
      <c r="F1295" s="236"/>
      <c r="G1295" s="237"/>
      <c r="H1295" s="237"/>
    </row>
    <row r="1296" spans="1:8">
      <c r="A1296" s="109"/>
      <c r="B1296" s="109"/>
      <c r="C1296" s="109"/>
      <c r="D1296" s="109"/>
      <c r="E1296" s="109"/>
      <c r="F1296" s="109"/>
      <c r="G1296" s="109"/>
      <c r="H1296" s="109"/>
    </row>
    <row r="1306" ht="18" spans="1:8">
      <c r="A1306" s="109"/>
      <c r="B1306" s="109"/>
      <c r="C1306" s="184" t="s">
        <v>0</v>
      </c>
      <c r="D1306" s="184"/>
      <c r="E1306" s="184"/>
      <c r="F1306" s="184"/>
      <c r="G1306" s="184"/>
      <c r="H1306" s="184"/>
    </row>
    <row r="1307" ht="18" spans="1:8">
      <c r="A1307" s="185"/>
      <c r="B1307" s="185"/>
      <c r="C1307" s="186" t="s">
        <v>1</v>
      </c>
      <c r="D1307" s="186"/>
      <c r="E1307" s="186"/>
      <c r="F1307" s="186"/>
      <c r="G1307" s="186"/>
      <c r="H1307" s="186"/>
    </row>
    <row r="1308" ht="18" spans="1:8">
      <c r="A1308" s="187"/>
      <c r="B1308" s="187"/>
      <c r="C1308" s="188" t="s">
        <v>2</v>
      </c>
      <c r="D1308" s="188"/>
      <c r="E1308" s="188"/>
      <c r="F1308" s="188"/>
      <c r="G1308" s="188"/>
      <c r="H1308" s="188"/>
    </row>
    <row r="1309" ht="15.75" spans="1:8">
      <c r="A1309" s="187"/>
      <c r="B1309" s="189"/>
      <c r="C1309" s="190"/>
      <c r="D1309" s="190"/>
      <c r="E1309" s="190"/>
      <c r="F1309" s="191"/>
      <c r="G1309" s="192"/>
      <c r="H1309" s="192"/>
    </row>
    <row r="1310" ht="15.75" spans="1:8">
      <c r="A1310" s="187"/>
      <c r="B1310" s="189"/>
      <c r="C1310" s="190"/>
      <c r="D1310" s="190"/>
      <c r="E1310" s="190"/>
      <c r="F1310" s="193"/>
      <c r="G1310" s="194"/>
      <c r="H1310" s="195"/>
    </row>
    <row r="1311" ht="15.75" spans="1:8">
      <c r="A1311" s="196" t="s">
        <v>3</v>
      </c>
      <c r="B1311" s="196"/>
      <c r="C1311" s="196"/>
      <c r="D1311" s="196"/>
      <c r="E1311" s="196"/>
      <c r="F1311" s="196" t="s">
        <v>5</v>
      </c>
      <c r="G1311" s="189"/>
      <c r="H1311" s="198"/>
    </row>
    <row r="1312" spans="1:8">
      <c r="A1312" s="196" t="s">
        <v>6</v>
      </c>
      <c r="B1312" s="195"/>
      <c r="C1312" s="196"/>
      <c r="D1312" s="196"/>
      <c r="E1312" s="196"/>
      <c r="F1312" s="196" t="s">
        <v>8</v>
      </c>
      <c r="G1312" s="196"/>
      <c r="H1312" s="195"/>
    </row>
    <row r="1313" spans="1:8">
      <c r="A1313" s="196" t="s">
        <v>9</v>
      </c>
      <c r="B1313" s="195"/>
      <c r="C1313" s="196"/>
      <c r="D1313" s="196"/>
      <c r="E1313" s="196"/>
      <c r="F1313" s="196"/>
      <c r="G1313" s="196"/>
      <c r="H1313" s="195"/>
    </row>
    <row r="1314" ht="15.75" spans="1:8">
      <c r="A1314" s="189"/>
      <c r="B1314" s="195"/>
      <c r="C1314" s="196"/>
      <c r="D1314" s="196"/>
      <c r="E1314" s="196"/>
      <c r="F1314" s="196"/>
      <c r="G1314" s="200"/>
      <c r="H1314" s="201"/>
    </row>
    <row r="1315" ht="15.75" spans="1:8">
      <c r="A1315" s="202"/>
      <c r="B1315" s="202" t="s">
        <v>50</v>
      </c>
      <c r="C1315" s="202"/>
      <c r="D1315" s="202"/>
      <c r="E1315" s="202"/>
      <c r="F1315" s="202"/>
      <c r="G1315" s="202"/>
      <c r="H1315" s="202"/>
    </row>
    <row r="1316" ht="15.75" spans="1:8">
      <c r="A1316" s="203" t="s">
        <v>11</v>
      </c>
      <c r="B1316" s="203" t="s">
        <v>12</v>
      </c>
      <c r="C1316" s="203" t="s">
        <v>13</v>
      </c>
      <c r="D1316" s="203" t="s">
        <v>14</v>
      </c>
      <c r="E1316" s="203" t="s">
        <v>15</v>
      </c>
      <c r="F1316" s="203" t="s">
        <v>16</v>
      </c>
      <c r="G1316" s="203" t="s">
        <v>17</v>
      </c>
      <c r="H1316" s="203" t="s">
        <v>18</v>
      </c>
    </row>
    <row r="1317" ht="15.75" spans="1:8">
      <c r="A1317" s="204">
        <v>1</v>
      </c>
      <c r="B1317" s="205" t="s">
        <v>19</v>
      </c>
      <c r="C1317" s="206">
        <f>D1272</f>
        <v>0</v>
      </c>
      <c r="D1317" s="206"/>
      <c r="E1317" s="206">
        <f>D1317-C1317</f>
        <v>0</v>
      </c>
      <c r="F1317" s="207">
        <f>SUM(E1317:E1318)</f>
        <v>0</v>
      </c>
      <c r="G1317" s="208">
        <v>12200</v>
      </c>
      <c r="H1317" s="209">
        <f>F1317*G1317</f>
        <v>0</v>
      </c>
    </row>
    <row r="1318" ht="15.75" spans="1:8">
      <c r="A1318" s="210"/>
      <c r="B1318" s="205" t="s">
        <v>20</v>
      </c>
      <c r="C1318" s="206">
        <f>D1273</f>
        <v>0</v>
      </c>
      <c r="D1318" s="206"/>
      <c r="E1318" s="206">
        <f>D1318-C1318</f>
        <v>0</v>
      </c>
      <c r="F1318" s="207"/>
      <c r="G1318" s="211"/>
      <c r="H1318" s="209"/>
    </row>
    <row r="1319" ht="15.75" spans="1:8">
      <c r="A1319" s="210"/>
      <c r="B1319" s="205" t="s">
        <v>21</v>
      </c>
      <c r="C1319" s="206">
        <f>D1274</f>
        <v>0</v>
      </c>
      <c r="D1319" s="206"/>
      <c r="E1319" s="206">
        <f>D1319-C1319</f>
        <v>0</v>
      </c>
      <c r="F1319" s="207">
        <f>SUM(E1319:E1320)</f>
        <v>0</v>
      </c>
      <c r="G1319" s="209">
        <v>14500</v>
      </c>
      <c r="H1319" s="209">
        <f>G1319*F1319</f>
        <v>0</v>
      </c>
    </row>
    <row r="1320" ht="15.75" spans="1:8">
      <c r="A1320" s="212"/>
      <c r="B1320" s="205" t="s">
        <v>22</v>
      </c>
      <c r="C1320" s="206">
        <f>D1275</f>
        <v>0</v>
      </c>
      <c r="D1320" s="206"/>
      <c r="E1320" s="206">
        <f>D1320-C1320</f>
        <v>0</v>
      </c>
      <c r="F1320" s="207"/>
      <c r="G1320" s="209"/>
      <c r="H1320" s="209"/>
    </row>
    <row r="1321" ht="15.75" spans="1:8">
      <c r="A1321" s="213"/>
      <c r="B1321" s="213"/>
      <c r="C1321" s="213"/>
      <c r="D1321" s="213"/>
      <c r="E1321" s="213"/>
      <c r="F1321" s="213"/>
      <c r="G1321" s="189" t="s">
        <v>23</v>
      </c>
      <c r="H1321" s="214">
        <f>H1317+H1319</f>
        <v>0</v>
      </c>
    </row>
    <row r="1322" spans="1:8">
      <c r="A1322" s="213" t="s">
        <v>24</v>
      </c>
      <c r="B1322" s="215">
        <f>H1331</f>
        <v>0</v>
      </c>
      <c r="C1322" s="213" t="s">
        <v>35</v>
      </c>
      <c r="D1322" s="213"/>
      <c r="E1322" s="213"/>
      <c r="F1322" s="213"/>
      <c r="G1322" s="196" t="s">
        <v>25</v>
      </c>
      <c r="H1322" s="216"/>
    </row>
    <row r="1323" ht="15.75" spans="1:8">
      <c r="A1323" s="213" t="s">
        <v>26</v>
      </c>
      <c r="B1323" s="217"/>
      <c r="C1323" s="202"/>
      <c r="D1323" s="213"/>
      <c r="E1323" s="213"/>
      <c r="F1323" s="213"/>
      <c r="G1323" s="196" t="s">
        <v>27</v>
      </c>
      <c r="H1323" s="218"/>
    </row>
    <row r="1324" ht="15.75" spans="1:8">
      <c r="A1324" s="219" t="s">
        <v>18</v>
      </c>
      <c r="B1324" s="215">
        <f>SUM(B1322:B1323)</f>
        <v>0</v>
      </c>
      <c r="C1324" s="213"/>
      <c r="D1324" s="213"/>
      <c r="E1324" s="213"/>
      <c r="F1324" s="213"/>
      <c r="G1324" s="200" t="s">
        <v>28</v>
      </c>
      <c r="H1324" s="220">
        <f>H1321-H1322-H1323</f>
        <v>0</v>
      </c>
    </row>
    <row r="1325" ht="15.75" spans="1:8">
      <c r="A1325" s="202"/>
      <c r="C1325" s="202"/>
      <c r="D1325" s="202"/>
      <c r="E1325" s="202"/>
      <c r="F1325" s="202"/>
      <c r="G1325" s="202"/>
      <c r="H1325" s="202"/>
    </row>
    <row r="1326" ht="15.75" spans="1:8">
      <c r="A1326" s="202"/>
      <c r="B1326" s="202"/>
      <c r="C1326" s="202"/>
      <c r="D1326" s="202"/>
      <c r="E1326" s="202"/>
      <c r="F1326" s="202"/>
      <c r="G1326" s="202"/>
      <c r="H1326" s="202"/>
    </row>
    <row r="1327" ht="15.75" spans="1:8">
      <c r="A1327" s="221" t="s">
        <v>23</v>
      </c>
      <c r="B1327" s="222"/>
      <c r="C1327" s="202"/>
      <c r="D1327" s="202"/>
      <c r="E1327" s="202"/>
      <c r="F1327" s="202"/>
      <c r="G1327" s="202"/>
      <c r="H1327" s="202"/>
    </row>
    <row r="1328" ht="15.75" spans="1:8">
      <c r="A1328" s="205" t="s">
        <v>29</v>
      </c>
      <c r="B1328" s="223">
        <f>F1317</f>
        <v>0</v>
      </c>
      <c r="C1328" s="202"/>
      <c r="D1328" s="202"/>
      <c r="E1328" s="202"/>
      <c r="F1328" s="224" t="s">
        <v>30</v>
      </c>
      <c r="G1328" s="224"/>
      <c r="H1328" s="225">
        <f>H1321</f>
        <v>0</v>
      </c>
    </row>
    <row r="1329" ht="15.75" spans="1:8">
      <c r="A1329" s="205" t="s">
        <v>31</v>
      </c>
      <c r="B1329" s="223">
        <f>F1319</f>
        <v>0</v>
      </c>
      <c r="C1329" s="202"/>
      <c r="D1329" s="202"/>
      <c r="E1329" s="202"/>
      <c r="F1329" s="224" t="s">
        <v>27</v>
      </c>
      <c r="G1329" s="224"/>
      <c r="H1329" s="225">
        <f>H1323</f>
        <v>0</v>
      </c>
    </row>
    <row r="1330" ht="15.75" spans="1:8">
      <c r="A1330" s="189"/>
      <c r="B1330" s="226"/>
      <c r="C1330" s="202" t="s">
        <v>35</v>
      </c>
      <c r="D1330" s="202"/>
      <c r="E1330" s="202"/>
      <c r="F1330" s="224" t="s">
        <v>26</v>
      </c>
      <c r="G1330" s="224"/>
      <c r="H1330" s="227">
        <f>B1323</f>
        <v>0</v>
      </c>
    </row>
    <row r="1331" ht="15.75" spans="1:8">
      <c r="A1331" s="228"/>
      <c r="B1331" s="226"/>
      <c r="C1331" s="202"/>
      <c r="D1331" s="202"/>
      <c r="E1331" s="202"/>
      <c r="F1331" s="224" t="s">
        <v>28</v>
      </c>
      <c r="G1331" s="224"/>
      <c r="H1331" s="225">
        <f>H1328-H1329-H1330</f>
        <v>0</v>
      </c>
    </row>
    <row r="1333" ht="15.75" spans="1:8">
      <c r="A1333" s="229"/>
      <c r="B1333" s="230"/>
      <c r="C1333" s="230"/>
      <c r="D1333" s="230"/>
      <c r="E1333" s="229"/>
      <c r="F1333" s="231"/>
      <c r="G1333" s="230"/>
      <c r="H1333" s="230"/>
    </row>
    <row r="1334" spans="1:8">
      <c r="A1334" s="232"/>
      <c r="B1334" s="233"/>
      <c r="C1334" s="234"/>
      <c r="D1334" s="234"/>
      <c r="E1334" s="232"/>
      <c r="F1334" s="233"/>
      <c r="G1334" s="234"/>
      <c r="H1334" s="234"/>
    </row>
    <row r="1335" spans="1:8">
      <c r="A1335" s="232"/>
      <c r="B1335" s="233"/>
      <c r="C1335" s="234"/>
      <c r="D1335" s="234"/>
      <c r="E1335" s="232"/>
      <c r="F1335" s="233"/>
      <c r="G1335" s="234"/>
      <c r="H1335" s="234"/>
    </row>
    <row r="1336" spans="1:8">
      <c r="A1336" s="232"/>
      <c r="B1336" s="233"/>
      <c r="C1336" s="234"/>
      <c r="D1336" s="234"/>
      <c r="E1336" s="232"/>
      <c r="F1336" s="233"/>
      <c r="G1336" s="234"/>
      <c r="H1336" s="234"/>
    </row>
    <row r="1337" spans="1:8">
      <c r="A1337" s="232"/>
      <c r="B1337" s="233"/>
      <c r="C1337" s="234"/>
      <c r="D1337" s="234"/>
      <c r="E1337" s="232"/>
      <c r="F1337" s="233"/>
      <c r="G1337" s="234"/>
      <c r="H1337" s="234"/>
    </row>
    <row r="1338" spans="1:8">
      <c r="A1338" s="232"/>
      <c r="B1338" s="233"/>
      <c r="C1338" s="234"/>
      <c r="D1338" s="234"/>
      <c r="E1338" s="232"/>
      <c r="F1338" s="233"/>
      <c r="G1338" s="234"/>
      <c r="H1338" s="234"/>
    </row>
    <row r="1339" spans="1:8">
      <c r="A1339" s="232"/>
      <c r="B1339" s="233"/>
      <c r="C1339" s="234"/>
      <c r="D1339" s="234"/>
      <c r="E1339" s="232"/>
      <c r="F1339" s="233"/>
      <c r="G1339" s="234"/>
      <c r="H1339" s="234"/>
    </row>
    <row r="1340" spans="1:8">
      <c r="A1340" s="232"/>
      <c r="B1340" s="233"/>
      <c r="C1340" s="235"/>
      <c r="D1340" s="235"/>
      <c r="E1340" s="236"/>
      <c r="F1340" s="236"/>
      <c r="G1340" s="237"/>
      <c r="H1340" s="237"/>
    </row>
    <row r="1341" spans="1:8">
      <c r="A1341" s="109"/>
      <c r="B1341" s="109"/>
      <c r="C1341" s="109"/>
      <c r="D1341" s="109"/>
      <c r="E1341" s="109"/>
      <c r="F1341" s="109"/>
      <c r="G1341" s="109"/>
      <c r="H1341" s="109"/>
    </row>
    <row r="1351" ht="18" spans="1:8">
      <c r="A1351" s="109"/>
      <c r="B1351" s="109"/>
      <c r="C1351" s="184" t="s">
        <v>0</v>
      </c>
      <c r="D1351" s="184"/>
      <c r="E1351" s="184"/>
      <c r="F1351" s="184"/>
      <c r="G1351" s="184"/>
      <c r="H1351" s="184"/>
    </row>
    <row r="1352" ht="18" spans="1:8">
      <c r="A1352" s="185"/>
      <c r="B1352" s="185"/>
      <c r="C1352" s="186" t="s">
        <v>1</v>
      </c>
      <c r="D1352" s="186"/>
      <c r="E1352" s="186"/>
      <c r="F1352" s="186"/>
      <c r="G1352" s="186"/>
      <c r="H1352" s="186"/>
    </row>
    <row r="1353" ht="18" spans="1:8">
      <c r="A1353" s="187"/>
      <c r="B1353" s="187"/>
      <c r="C1353" s="188" t="s">
        <v>2</v>
      </c>
      <c r="D1353" s="188"/>
      <c r="E1353" s="188"/>
      <c r="F1353" s="188"/>
      <c r="G1353" s="188"/>
      <c r="H1353" s="188"/>
    </row>
    <row r="1354" ht="15.75" spans="1:8">
      <c r="A1354" s="187"/>
      <c r="B1354" s="189"/>
      <c r="C1354" s="190"/>
      <c r="D1354" s="190"/>
      <c r="E1354" s="190"/>
      <c r="F1354" s="191"/>
      <c r="G1354" s="192"/>
      <c r="H1354" s="192"/>
    </row>
    <row r="1355" ht="15.75" spans="1:8">
      <c r="A1355" s="187"/>
      <c r="B1355" s="189"/>
      <c r="C1355" s="190"/>
      <c r="D1355" s="190"/>
      <c r="E1355" s="190"/>
      <c r="F1355" s="193"/>
      <c r="G1355" s="194"/>
      <c r="H1355" s="195"/>
    </row>
    <row r="1356" ht="15.75" spans="1:8">
      <c r="A1356" s="196" t="s">
        <v>3</v>
      </c>
      <c r="B1356" s="196"/>
      <c r="C1356" s="196"/>
      <c r="D1356" s="196"/>
      <c r="E1356" s="196"/>
      <c r="F1356" s="196" t="s">
        <v>5</v>
      </c>
      <c r="G1356" s="189"/>
      <c r="H1356" s="198"/>
    </row>
    <row r="1357" spans="1:8">
      <c r="A1357" s="196" t="s">
        <v>6</v>
      </c>
      <c r="B1357" s="195"/>
      <c r="C1357" s="196"/>
      <c r="D1357" s="196"/>
      <c r="E1357" s="196"/>
      <c r="F1357" s="196" t="s">
        <v>8</v>
      </c>
      <c r="G1357" s="196"/>
      <c r="H1357" s="195"/>
    </row>
    <row r="1358" spans="1:8">
      <c r="A1358" s="196" t="s">
        <v>9</v>
      </c>
      <c r="B1358" s="195"/>
      <c r="C1358" s="196"/>
      <c r="D1358" s="196"/>
      <c r="E1358" s="196"/>
      <c r="F1358" s="196"/>
      <c r="G1358" s="196"/>
      <c r="H1358" s="195"/>
    </row>
    <row r="1359" ht="15.75" spans="1:8">
      <c r="A1359" s="189"/>
      <c r="B1359" s="195"/>
      <c r="C1359" s="196"/>
      <c r="D1359" s="196"/>
      <c r="E1359" s="196"/>
      <c r="F1359" s="196"/>
      <c r="G1359" s="200"/>
      <c r="H1359" s="201"/>
    </row>
    <row r="1360" ht="15.75" spans="1:8">
      <c r="A1360" s="202"/>
      <c r="B1360" s="202" t="s">
        <v>50</v>
      </c>
      <c r="C1360" s="202"/>
      <c r="D1360" s="202"/>
      <c r="E1360" s="202"/>
      <c r="F1360" s="202"/>
      <c r="G1360" s="202"/>
      <c r="H1360" s="202"/>
    </row>
    <row r="1361" ht="15.75" spans="1:8">
      <c r="A1361" s="203" t="s">
        <v>11</v>
      </c>
      <c r="B1361" s="203" t="s">
        <v>12</v>
      </c>
      <c r="C1361" s="203" t="s">
        <v>13</v>
      </c>
      <c r="D1361" s="203" t="s">
        <v>14</v>
      </c>
      <c r="E1361" s="203" t="s">
        <v>15</v>
      </c>
      <c r="F1361" s="203" t="s">
        <v>16</v>
      </c>
      <c r="G1361" s="203" t="s">
        <v>17</v>
      </c>
      <c r="H1361" s="203" t="s">
        <v>18</v>
      </c>
    </row>
    <row r="1362" ht="15.75" spans="1:8">
      <c r="A1362" s="204">
        <v>1</v>
      </c>
      <c r="B1362" s="205" t="s">
        <v>19</v>
      </c>
      <c r="C1362" s="206">
        <f>D1317</f>
        <v>0</v>
      </c>
      <c r="D1362" s="206"/>
      <c r="E1362" s="206">
        <f>D1362-C1362</f>
        <v>0</v>
      </c>
      <c r="F1362" s="207">
        <f>SUM(E1362:E1363)</f>
        <v>0</v>
      </c>
      <c r="G1362" s="208">
        <v>12200</v>
      </c>
      <c r="H1362" s="209">
        <f>F1362*G1362</f>
        <v>0</v>
      </c>
    </row>
    <row r="1363" ht="15.75" spans="1:8">
      <c r="A1363" s="210"/>
      <c r="B1363" s="205" t="s">
        <v>20</v>
      </c>
      <c r="C1363" s="206">
        <f>D1318</f>
        <v>0</v>
      </c>
      <c r="D1363" s="206"/>
      <c r="E1363" s="206">
        <f>D1363-C1363</f>
        <v>0</v>
      </c>
      <c r="F1363" s="207"/>
      <c r="G1363" s="211"/>
      <c r="H1363" s="209"/>
    </row>
    <row r="1364" ht="15.75" spans="1:8">
      <c r="A1364" s="210"/>
      <c r="B1364" s="205" t="s">
        <v>21</v>
      </c>
      <c r="C1364" s="206">
        <f>D1319</f>
        <v>0</v>
      </c>
      <c r="D1364" s="206"/>
      <c r="E1364" s="206">
        <f>D1364-C1364</f>
        <v>0</v>
      </c>
      <c r="F1364" s="207">
        <f>SUM(E1364:E1365)</f>
        <v>0</v>
      </c>
      <c r="G1364" s="209">
        <v>14500</v>
      </c>
      <c r="H1364" s="209">
        <f>G1364*F1364</f>
        <v>0</v>
      </c>
    </row>
    <row r="1365" ht="15.75" spans="1:8">
      <c r="A1365" s="212"/>
      <c r="B1365" s="205" t="s">
        <v>22</v>
      </c>
      <c r="C1365" s="206">
        <f>D1320</f>
        <v>0</v>
      </c>
      <c r="D1365" s="206"/>
      <c r="E1365" s="206">
        <f>D1365-C1365</f>
        <v>0</v>
      </c>
      <c r="F1365" s="207"/>
      <c r="G1365" s="209"/>
      <c r="H1365" s="209"/>
    </row>
    <row r="1366" ht="15.75" spans="1:8">
      <c r="A1366" s="213"/>
      <c r="B1366" s="213"/>
      <c r="C1366" s="213"/>
      <c r="D1366" s="213"/>
      <c r="E1366" s="213"/>
      <c r="F1366" s="213"/>
      <c r="G1366" s="189" t="s">
        <v>23</v>
      </c>
      <c r="H1366" s="214">
        <f>H1362+H1364</f>
        <v>0</v>
      </c>
    </row>
    <row r="1367" spans="1:8">
      <c r="A1367" s="213" t="s">
        <v>24</v>
      </c>
      <c r="B1367" s="215">
        <f>H1376</f>
        <v>0</v>
      </c>
      <c r="C1367" s="213" t="s">
        <v>35</v>
      </c>
      <c r="D1367" s="213"/>
      <c r="E1367" s="213"/>
      <c r="F1367" s="213"/>
      <c r="G1367" s="196" t="s">
        <v>25</v>
      </c>
      <c r="H1367" s="216"/>
    </row>
    <row r="1368" ht="15.75" spans="1:8">
      <c r="A1368" s="213" t="s">
        <v>26</v>
      </c>
      <c r="B1368" s="217"/>
      <c r="C1368" s="202"/>
      <c r="D1368" s="213"/>
      <c r="E1368" s="213"/>
      <c r="F1368" s="213"/>
      <c r="G1368" s="196" t="s">
        <v>27</v>
      </c>
      <c r="H1368" s="218"/>
    </row>
    <row r="1369" ht="15.75" spans="1:8">
      <c r="A1369" s="219" t="s">
        <v>18</v>
      </c>
      <c r="B1369" s="215">
        <f>SUM(B1367:B1368)</f>
        <v>0</v>
      </c>
      <c r="C1369" s="213"/>
      <c r="D1369" s="213"/>
      <c r="E1369" s="213"/>
      <c r="F1369" s="213"/>
      <c r="G1369" s="200" t="s">
        <v>28</v>
      </c>
      <c r="H1369" s="220">
        <f>H1366-H1367-H1368</f>
        <v>0</v>
      </c>
    </row>
    <row r="1370" ht="15.75" spans="1:8">
      <c r="A1370" s="202"/>
      <c r="C1370" s="202"/>
      <c r="D1370" s="202"/>
      <c r="E1370" s="202"/>
      <c r="F1370" s="202"/>
      <c r="G1370" s="202"/>
      <c r="H1370" s="202"/>
    </row>
    <row r="1371" ht="15.75" spans="1:8">
      <c r="A1371" s="202"/>
      <c r="B1371" s="202"/>
      <c r="C1371" s="202"/>
      <c r="D1371" s="202"/>
      <c r="E1371" s="202"/>
      <c r="F1371" s="202"/>
      <c r="G1371" s="202"/>
      <c r="H1371" s="202"/>
    </row>
    <row r="1372" ht="15.75" spans="1:8">
      <c r="A1372" s="221" t="s">
        <v>23</v>
      </c>
      <c r="B1372" s="222"/>
      <c r="C1372" s="202"/>
      <c r="D1372" s="202"/>
      <c r="E1372" s="202"/>
      <c r="F1372" s="202"/>
      <c r="G1372" s="202"/>
      <c r="H1372" s="202"/>
    </row>
    <row r="1373" ht="15.75" spans="1:8">
      <c r="A1373" s="205" t="s">
        <v>29</v>
      </c>
      <c r="B1373" s="223">
        <f>F1362</f>
        <v>0</v>
      </c>
      <c r="C1373" s="202"/>
      <c r="D1373" s="202"/>
      <c r="E1373" s="202"/>
      <c r="F1373" s="224" t="s">
        <v>30</v>
      </c>
      <c r="G1373" s="224"/>
      <c r="H1373" s="225">
        <f>H1366</f>
        <v>0</v>
      </c>
    </row>
    <row r="1374" ht="15.75" spans="1:8">
      <c r="A1374" s="205" t="s">
        <v>31</v>
      </c>
      <c r="B1374" s="223">
        <f>F1364</f>
        <v>0</v>
      </c>
      <c r="C1374" s="202"/>
      <c r="D1374" s="202"/>
      <c r="E1374" s="202"/>
      <c r="F1374" s="224" t="s">
        <v>27</v>
      </c>
      <c r="G1374" s="224"/>
      <c r="H1374" s="225">
        <f>H1368</f>
        <v>0</v>
      </c>
    </row>
    <row r="1375" ht="15.75" spans="1:8">
      <c r="A1375" s="189"/>
      <c r="B1375" s="226"/>
      <c r="C1375" s="202" t="s">
        <v>35</v>
      </c>
      <c r="D1375" s="202"/>
      <c r="E1375" s="202"/>
      <c r="F1375" s="224" t="s">
        <v>26</v>
      </c>
      <c r="G1375" s="224"/>
      <c r="H1375" s="227">
        <f>B1368</f>
        <v>0</v>
      </c>
    </row>
    <row r="1376" ht="15.75" spans="1:8">
      <c r="A1376" s="228"/>
      <c r="B1376" s="226"/>
      <c r="C1376" s="202"/>
      <c r="D1376" s="202"/>
      <c r="E1376" s="202"/>
      <c r="F1376" s="224" t="s">
        <v>28</v>
      </c>
      <c r="G1376" s="224"/>
      <c r="H1376" s="225">
        <f>H1373-H1374-H1375</f>
        <v>0</v>
      </c>
    </row>
    <row r="1378" ht="15.75" spans="1:8">
      <c r="A1378" s="229"/>
      <c r="B1378" s="230"/>
      <c r="C1378" s="230"/>
      <c r="D1378" s="230"/>
      <c r="E1378" s="229"/>
      <c r="F1378" s="231"/>
      <c r="G1378" s="230"/>
      <c r="H1378" s="230"/>
    </row>
    <row r="1379" spans="1:8">
      <c r="A1379" s="232"/>
      <c r="B1379" s="233"/>
      <c r="C1379" s="234"/>
      <c r="D1379" s="234"/>
      <c r="E1379" s="232"/>
      <c r="F1379" s="233"/>
      <c r="G1379" s="234"/>
      <c r="H1379" s="234"/>
    </row>
    <row r="1380" spans="1:8">
      <c r="A1380" s="232"/>
      <c r="B1380" s="233"/>
      <c r="C1380" s="234"/>
      <c r="D1380" s="234"/>
      <c r="E1380" s="232"/>
      <c r="F1380" s="233"/>
      <c r="G1380" s="234"/>
      <c r="H1380" s="234"/>
    </row>
    <row r="1381" spans="1:8">
      <c r="A1381" s="232"/>
      <c r="B1381" s="233"/>
      <c r="C1381" s="234"/>
      <c r="D1381" s="234"/>
      <c r="E1381" s="232"/>
      <c r="F1381" s="233"/>
      <c r="G1381" s="234"/>
      <c r="H1381" s="234"/>
    </row>
    <row r="1382" spans="1:8">
      <c r="A1382" s="232"/>
      <c r="B1382" s="233"/>
      <c r="C1382" s="234"/>
      <c r="D1382" s="234"/>
      <c r="E1382" s="232"/>
      <c r="F1382" s="233"/>
      <c r="G1382" s="234"/>
      <c r="H1382" s="234"/>
    </row>
    <row r="1383" spans="1:8">
      <c r="A1383" s="232"/>
      <c r="B1383" s="233"/>
      <c r="C1383" s="234"/>
      <c r="D1383" s="234"/>
      <c r="E1383" s="232"/>
      <c r="F1383" s="233"/>
      <c r="G1383" s="234"/>
      <c r="H1383" s="234"/>
    </row>
    <row r="1384" spans="1:8">
      <c r="A1384" s="232"/>
      <c r="B1384" s="233"/>
      <c r="C1384" s="234"/>
      <c r="D1384" s="234"/>
      <c r="E1384" s="232"/>
      <c r="F1384" s="233"/>
      <c r="G1384" s="234"/>
      <c r="H1384" s="234"/>
    </row>
    <row r="1385" spans="1:8">
      <c r="A1385" s="232"/>
      <c r="B1385" s="233"/>
      <c r="C1385" s="235"/>
      <c r="D1385" s="235"/>
      <c r="E1385" s="236"/>
      <c r="F1385" s="236"/>
      <c r="G1385" s="237"/>
      <c r="H1385" s="237"/>
    </row>
    <row r="1386" spans="1:8">
      <c r="A1386" s="109"/>
      <c r="B1386" s="109"/>
      <c r="C1386" s="109"/>
      <c r="D1386" s="109"/>
      <c r="E1386" s="109"/>
      <c r="F1386" s="109"/>
      <c r="G1386" s="109"/>
      <c r="H1386" s="109"/>
    </row>
  </sheetData>
  <mergeCells count="821">
    <mergeCell ref="C1:H1"/>
    <mergeCell ref="C2:H2"/>
    <mergeCell ref="C3:H3"/>
    <mergeCell ref="A22:B22"/>
    <mergeCell ref="C28:D28"/>
    <mergeCell ref="G28:H28"/>
    <mergeCell ref="C29:D29"/>
    <mergeCell ref="G29:H29"/>
    <mergeCell ref="C30:D30"/>
    <mergeCell ref="G30:H30"/>
    <mergeCell ref="C31:D31"/>
    <mergeCell ref="G31:H31"/>
    <mergeCell ref="C32:D32"/>
    <mergeCell ref="G32:H32"/>
    <mergeCell ref="C33:D33"/>
    <mergeCell ref="G33:H33"/>
    <mergeCell ref="C34:D34"/>
    <mergeCell ref="G34:H34"/>
    <mergeCell ref="C35:D35"/>
    <mergeCell ref="E35:F35"/>
    <mergeCell ref="G35:H35"/>
    <mergeCell ref="C46:H46"/>
    <mergeCell ref="C47:H47"/>
    <mergeCell ref="C48:H48"/>
    <mergeCell ref="A67:B67"/>
    <mergeCell ref="C73:D73"/>
    <mergeCell ref="G73:H73"/>
    <mergeCell ref="C74:D74"/>
    <mergeCell ref="G74:H74"/>
    <mergeCell ref="C75:D75"/>
    <mergeCell ref="G75:H75"/>
    <mergeCell ref="C76:D76"/>
    <mergeCell ref="G76:H76"/>
    <mergeCell ref="C77:D77"/>
    <mergeCell ref="G77:H77"/>
    <mergeCell ref="C78:D78"/>
    <mergeCell ref="G78:H78"/>
    <mergeCell ref="C79:D79"/>
    <mergeCell ref="G79:H79"/>
    <mergeCell ref="C80:D80"/>
    <mergeCell ref="E80:F80"/>
    <mergeCell ref="G80:H80"/>
    <mergeCell ref="C91:H91"/>
    <mergeCell ref="C92:H92"/>
    <mergeCell ref="C93:H93"/>
    <mergeCell ref="A112:B112"/>
    <mergeCell ref="C118:D118"/>
    <mergeCell ref="G118:H118"/>
    <mergeCell ref="C119:D119"/>
    <mergeCell ref="G119:H119"/>
    <mergeCell ref="C120:D120"/>
    <mergeCell ref="G120:H120"/>
    <mergeCell ref="C121:D121"/>
    <mergeCell ref="G121:H121"/>
    <mergeCell ref="C122:D122"/>
    <mergeCell ref="G122:H122"/>
    <mergeCell ref="C123:D123"/>
    <mergeCell ref="G123:H123"/>
    <mergeCell ref="C124:D124"/>
    <mergeCell ref="G124:H124"/>
    <mergeCell ref="C125:D125"/>
    <mergeCell ref="E125:F125"/>
    <mergeCell ref="G125:H125"/>
    <mergeCell ref="C136:H136"/>
    <mergeCell ref="C137:H137"/>
    <mergeCell ref="C138:H138"/>
    <mergeCell ref="A157:B157"/>
    <mergeCell ref="C163:D163"/>
    <mergeCell ref="G163:H163"/>
    <mergeCell ref="C164:D164"/>
    <mergeCell ref="G164:H164"/>
    <mergeCell ref="C165:D165"/>
    <mergeCell ref="G165:H165"/>
    <mergeCell ref="C166:D166"/>
    <mergeCell ref="G166:H166"/>
    <mergeCell ref="C167:D167"/>
    <mergeCell ref="G167:H167"/>
    <mergeCell ref="C168:D168"/>
    <mergeCell ref="G168:H168"/>
    <mergeCell ref="C169:D169"/>
    <mergeCell ref="G169:H169"/>
    <mergeCell ref="C170:D170"/>
    <mergeCell ref="E170:F170"/>
    <mergeCell ref="G170:H170"/>
    <mergeCell ref="C181:H181"/>
    <mergeCell ref="C182:H182"/>
    <mergeCell ref="C183:H183"/>
    <mergeCell ref="A202:B202"/>
    <mergeCell ref="C208:D208"/>
    <mergeCell ref="G208:H208"/>
    <mergeCell ref="C209:D209"/>
    <mergeCell ref="G209:H209"/>
    <mergeCell ref="C210:D210"/>
    <mergeCell ref="G210:H210"/>
    <mergeCell ref="C211:D211"/>
    <mergeCell ref="G211:H211"/>
    <mergeCell ref="C212:D212"/>
    <mergeCell ref="G212:H212"/>
    <mergeCell ref="C213:D213"/>
    <mergeCell ref="G213:H213"/>
    <mergeCell ref="C214:D214"/>
    <mergeCell ref="G214:H214"/>
    <mergeCell ref="C215:D215"/>
    <mergeCell ref="E215:F215"/>
    <mergeCell ref="G215:H215"/>
    <mergeCell ref="C226:H226"/>
    <mergeCell ref="C227:H227"/>
    <mergeCell ref="C228:H228"/>
    <mergeCell ref="A247:B247"/>
    <mergeCell ref="C253:D253"/>
    <mergeCell ref="G253:H253"/>
    <mergeCell ref="C254:D254"/>
    <mergeCell ref="G254:H254"/>
    <mergeCell ref="C255:D255"/>
    <mergeCell ref="G255:H255"/>
    <mergeCell ref="C256:D256"/>
    <mergeCell ref="G256:H256"/>
    <mergeCell ref="C257:D257"/>
    <mergeCell ref="G257:H257"/>
    <mergeCell ref="C258:D258"/>
    <mergeCell ref="G258:H258"/>
    <mergeCell ref="C259:D259"/>
    <mergeCell ref="G259:H259"/>
    <mergeCell ref="C260:D260"/>
    <mergeCell ref="E260:F260"/>
    <mergeCell ref="G260:H260"/>
    <mergeCell ref="C271:H271"/>
    <mergeCell ref="C272:H272"/>
    <mergeCell ref="C273:H273"/>
    <mergeCell ref="A292:B292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E305:F305"/>
    <mergeCell ref="C316:H316"/>
    <mergeCell ref="C317:H317"/>
    <mergeCell ref="C318:H318"/>
    <mergeCell ref="A337:B337"/>
    <mergeCell ref="C343:D343"/>
    <mergeCell ref="G343:H343"/>
    <mergeCell ref="C344:D344"/>
    <mergeCell ref="G344:H344"/>
    <mergeCell ref="C345:D345"/>
    <mergeCell ref="G345:H345"/>
    <mergeCell ref="C346:D346"/>
    <mergeCell ref="G346:H346"/>
    <mergeCell ref="C347:D347"/>
    <mergeCell ref="G347:H347"/>
    <mergeCell ref="C348:D348"/>
    <mergeCell ref="G348:H348"/>
    <mergeCell ref="C349:D349"/>
    <mergeCell ref="G349:H349"/>
    <mergeCell ref="C350:D350"/>
    <mergeCell ref="E350:F350"/>
    <mergeCell ref="G350:H350"/>
    <mergeCell ref="C361:H361"/>
    <mergeCell ref="C362:H362"/>
    <mergeCell ref="C363:H363"/>
    <mergeCell ref="A382:B382"/>
    <mergeCell ref="C388:D388"/>
    <mergeCell ref="G388:H388"/>
    <mergeCell ref="C389:D389"/>
    <mergeCell ref="G389:H389"/>
    <mergeCell ref="C390:D390"/>
    <mergeCell ref="G390:H390"/>
    <mergeCell ref="C391:D391"/>
    <mergeCell ref="G391:H391"/>
    <mergeCell ref="C392:D392"/>
    <mergeCell ref="G392:H392"/>
    <mergeCell ref="C393:D393"/>
    <mergeCell ref="G393:H393"/>
    <mergeCell ref="C394:D394"/>
    <mergeCell ref="G394:H394"/>
    <mergeCell ref="C395:D395"/>
    <mergeCell ref="E395:F395"/>
    <mergeCell ref="G395:H395"/>
    <mergeCell ref="C406:H406"/>
    <mergeCell ref="C407:H407"/>
    <mergeCell ref="C408:H408"/>
    <mergeCell ref="A427:B427"/>
    <mergeCell ref="C433:D433"/>
    <mergeCell ref="G433:H433"/>
    <mergeCell ref="C434:D434"/>
    <mergeCell ref="G434:H434"/>
    <mergeCell ref="C435:D435"/>
    <mergeCell ref="G435:H435"/>
    <mergeCell ref="C436:D436"/>
    <mergeCell ref="G436:H436"/>
    <mergeCell ref="C437:D437"/>
    <mergeCell ref="G437:H437"/>
    <mergeCell ref="C438:D438"/>
    <mergeCell ref="G438:H438"/>
    <mergeCell ref="C439:D439"/>
    <mergeCell ref="G439:H439"/>
    <mergeCell ref="C440:D440"/>
    <mergeCell ref="E440:F440"/>
    <mergeCell ref="G440:H440"/>
    <mergeCell ref="C451:H451"/>
    <mergeCell ref="C452:H452"/>
    <mergeCell ref="C453:H453"/>
    <mergeCell ref="A472:B472"/>
    <mergeCell ref="C478:D478"/>
    <mergeCell ref="G478:H478"/>
    <mergeCell ref="C479:D479"/>
    <mergeCell ref="G479:H479"/>
    <mergeCell ref="C480:D480"/>
    <mergeCell ref="G480:H480"/>
    <mergeCell ref="C481:D481"/>
    <mergeCell ref="G481:H481"/>
    <mergeCell ref="C482:D482"/>
    <mergeCell ref="G482:H482"/>
    <mergeCell ref="C483:D483"/>
    <mergeCell ref="G483:H483"/>
    <mergeCell ref="C484:D484"/>
    <mergeCell ref="G484:H484"/>
    <mergeCell ref="C485:D485"/>
    <mergeCell ref="E485:F485"/>
    <mergeCell ref="G485:H485"/>
    <mergeCell ref="C496:H496"/>
    <mergeCell ref="C497:H497"/>
    <mergeCell ref="C498:H498"/>
    <mergeCell ref="A517:B517"/>
    <mergeCell ref="C523:D523"/>
    <mergeCell ref="G523:H523"/>
    <mergeCell ref="C524:D524"/>
    <mergeCell ref="G524:H524"/>
    <mergeCell ref="C525:D525"/>
    <mergeCell ref="G525:H525"/>
    <mergeCell ref="C526:D526"/>
    <mergeCell ref="G526:H526"/>
    <mergeCell ref="C527:D527"/>
    <mergeCell ref="G527:H527"/>
    <mergeCell ref="C528:D528"/>
    <mergeCell ref="G528:H528"/>
    <mergeCell ref="C529:D529"/>
    <mergeCell ref="G529:H529"/>
    <mergeCell ref="C530:D530"/>
    <mergeCell ref="E530:F530"/>
    <mergeCell ref="G530:H530"/>
    <mergeCell ref="C541:H541"/>
    <mergeCell ref="C542:H542"/>
    <mergeCell ref="C543:H543"/>
    <mergeCell ref="A562:B562"/>
    <mergeCell ref="C568:D568"/>
    <mergeCell ref="G568:H568"/>
    <mergeCell ref="C569:D569"/>
    <mergeCell ref="G569:H569"/>
    <mergeCell ref="C570:D570"/>
    <mergeCell ref="G570:H570"/>
    <mergeCell ref="C571:D571"/>
    <mergeCell ref="G571:H571"/>
    <mergeCell ref="C572:D572"/>
    <mergeCell ref="G572:H572"/>
    <mergeCell ref="C573:D573"/>
    <mergeCell ref="G573:H573"/>
    <mergeCell ref="C574:D574"/>
    <mergeCell ref="G574:H574"/>
    <mergeCell ref="C575:D575"/>
    <mergeCell ref="E575:F575"/>
    <mergeCell ref="G575:H575"/>
    <mergeCell ref="C586:H586"/>
    <mergeCell ref="C587:H587"/>
    <mergeCell ref="C588:H588"/>
    <mergeCell ref="A607:B607"/>
    <mergeCell ref="C613:D613"/>
    <mergeCell ref="G613:H613"/>
    <mergeCell ref="C614:D614"/>
    <mergeCell ref="G614:H614"/>
    <mergeCell ref="C615:D615"/>
    <mergeCell ref="G615:H615"/>
    <mergeCell ref="C616:D616"/>
    <mergeCell ref="G616:H616"/>
    <mergeCell ref="C617:D617"/>
    <mergeCell ref="G617:H617"/>
    <mergeCell ref="C618:D618"/>
    <mergeCell ref="G618:H618"/>
    <mergeCell ref="C619:D619"/>
    <mergeCell ref="G619:H619"/>
    <mergeCell ref="C620:D620"/>
    <mergeCell ref="E620:F620"/>
    <mergeCell ref="G620:H620"/>
    <mergeCell ref="C631:H631"/>
    <mergeCell ref="C632:H632"/>
    <mergeCell ref="C633:H633"/>
    <mergeCell ref="A652:B652"/>
    <mergeCell ref="C658:D658"/>
    <mergeCell ref="G658:H658"/>
    <mergeCell ref="C659:D659"/>
    <mergeCell ref="G659:H659"/>
    <mergeCell ref="C660:D660"/>
    <mergeCell ref="G660:H660"/>
    <mergeCell ref="C661:D661"/>
    <mergeCell ref="G661:H661"/>
    <mergeCell ref="C662:D662"/>
    <mergeCell ref="G662:H662"/>
    <mergeCell ref="C663:D663"/>
    <mergeCell ref="G663:H663"/>
    <mergeCell ref="C664:D664"/>
    <mergeCell ref="G664:H664"/>
    <mergeCell ref="C665:D665"/>
    <mergeCell ref="E665:F665"/>
    <mergeCell ref="G665:H665"/>
    <mergeCell ref="C676:H676"/>
    <mergeCell ref="C677:H677"/>
    <mergeCell ref="C678:H678"/>
    <mergeCell ref="A697:B697"/>
    <mergeCell ref="C703:D703"/>
    <mergeCell ref="G703:H703"/>
    <mergeCell ref="C704:D704"/>
    <mergeCell ref="G704:H704"/>
    <mergeCell ref="C705:D705"/>
    <mergeCell ref="G705:H705"/>
    <mergeCell ref="C706:D706"/>
    <mergeCell ref="G706:H706"/>
    <mergeCell ref="C707:D707"/>
    <mergeCell ref="G707:H707"/>
    <mergeCell ref="C708:D708"/>
    <mergeCell ref="G708:H708"/>
    <mergeCell ref="C709:D709"/>
    <mergeCell ref="G709:H709"/>
    <mergeCell ref="C710:D710"/>
    <mergeCell ref="E710:F710"/>
    <mergeCell ref="G710:H710"/>
    <mergeCell ref="C721:H721"/>
    <mergeCell ref="C722:H722"/>
    <mergeCell ref="C723:H723"/>
    <mergeCell ref="A742:B742"/>
    <mergeCell ref="C748:D748"/>
    <mergeCell ref="G748:H748"/>
    <mergeCell ref="C749:D749"/>
    <mergeCell ref="G749:H749"/>
    <mergeCell ref="C750:D750"/>
    <mergeCell ref="G750:H750"/>
    <mergeCell ref="C751:D751"/>
    <mergeCell ref="G751:H751"/>
    <mergeCell ref="C752:D752"/>
    <mergeCell ref="G752:H752"/>
    <mergeCell ref="C753:D753"/>
    <mergeCell ref="G753:H753"/>
    <mergeCell ref="C754:D754"/>
    <mergeCell ref="G754:H754"/>
    <mergeCell ref="C755:D755"/>
    <mergeCell ref="E755:F755"/>
    <mergeCell ref="G755:H755"/>
    <mergeCell ref="C766:H766"/>
    <mergeCell ref="C767:H767"/>
    <mergeCell ref="C768:H768"/>
    <mergeCell ref="A787:B787"/>
    <mergeCell ref="C793:D793"/>
    <mergeCell ref="G793:H793"/>
    <mergeCell ref="C794:D794"/>
    <mergeCell ref="G794:H794"/>
    <mergeCell ref="C795:D795"/>
    <mergeCell ref="G795:H795"/>
    <mergeCell ref="C796:D796"/>
    <mergeCell ref="G796:H796"/>
    <mergeCell ref="C797:D797"/>
    <mergeCell ref="G797:H797"/>
    <mergeCell ref="C798:D798"/>
    <mergeCell ref="G798:H798"/>
    <mergeCell ref="C799:D799"/>
    <mergeCell ref="G799:H799"/>
    <mergeCell ref="C800:D800"/>
    <mergeCell ref="E800:F800"/>
    <mergeCell ref="G800:H800"/>
    <mergeCell ref="C811:H811"/>
    <mergeCell ref="C812:H812"/>
    <mergeCell ref="C813:H813"/>
    <mergeCell ref="A832:B832"/>
    <mergeCell ref="G838:H838"/>
    <mergeCell ref="G839:H839"/>
    <mergeCell ref="G840:H840"/>
    <mergeCell ref="G841:H841"/>
    <mergeCell ref="G842:H842"/>
    <mergeCell ref="G843:H843"/>
    <mergeCell ref="G844:H844"/>
    <mergeCell ref="E845:F845"/>
    <mergeCell ref="G845:H845"/>
    <mergeCell ref="C856:H856"/>
    <mergeCell ref="C857:H857"/>
    <mergeCell ref="C858:H858"/>
    <mergeCell ref="A877:B877"/>
    <mergeCell ref="G883:H883"/>
    <mergeCell ref="G884:H884"/>
    <mergeCell ref="G885:H885"/>
    <mergeCell ref="G886:H886"/>
    <mergeCell ref="G887:H887"/>
    <mergeCell ref="G888:H888"/>
    <mergeCell ref="G889:H889"/>
    <mergeCell ref="E890:F890"/>
    <mergeCell ref="G890:H890"/>
    <mergeCell ref="C901:H901"/>
    <mergeCell ref="C902:H902"/>
    <mergeCell ref="C903:H903"/>
    <mergeCell ref="A922:B922"/>
    <mergeCell ref="G928:H928"/>
    <mergeCell ref="G929:H929"/>
    <mergeCell ref="G930:H930"/>
    <mergeCell ref="G931:H931"/>
    <mergeCell ref="G932:H932"/>
    <mergeCell ref="G933:H933"/>
    <mergeCell ref="G934:H934"/>
    <mergeCell ref="C935:D935"/>
    <mergeCell ref="E935:F935"/>
    <mergeCell ref="G935:H935"/>
    <mergeCell ref="C946:H946"/>
    <mergeCell ref="C947:H947"/>
    <mergeCell ref="C948:H948"/>
    <mergeCell ref="A967:B967"/>
    <mergeCell ref="G973:H973"/>
    <mergeCell ref="G974:H974"/>
    <mergeCell ref="G975:H975"/>
    <mergeCell ref="G976:H976"/>
    <mergeCell ref="G977:H977"/>
    <mergeCell ref="G978:H978"/>
    <mergeCell ref="G979:H979"/>
    <mergeCell ref="E980:F980"/>
    <mergeCell ref="G980:H980"/>
    <mergeCell ref="C991:H991"/>
    <mergeCell ref="C992:H992"/>
    <mergeCell ref="C993:H993"/>
    <mergeCell ref="A1012:B1012"/>
    <mergeCell ref="C1018:D1018"/>
    <mergeCell ref="G1018:H1018"/>
    <mergeCell ref="C1019:D1019"/>
    <mergeCell ref="G1019:H1019"/>
    <mergeCell ref="C1020:D1020"/>
    <mergeCell ref="G1020:H1020"/>
    <mergeCell ref="C1021:D1021"/>
    <mergeCell ref="G1021:H1021"/>
    <mergeCell ref="C1022:D1022"/>
    <mergeCell ref="G1022:H1022"/>
    <mergeCell ref="C1023:D1023"/>
    <mergeCell ref="G1023:H1023"/>
    <mergeCell ref="C1024:D1024"/>
    <mergeCell ref="G1024:H1024"/>
    <mergeCell ref="C1025:D1025"/>
    <mergeCell ref="E1025:F1025"/>
    <mergeCell ref="G1025:H1025"/>
    <mergeCell ref="C1036:H1036"/>
    <mergeCell ref="C1037:H1037"/>
    <mergeCell ref="C1038:H1038"/>
    <mergeCell ref="A1057:B1057"/>
    <mergeCell ref="C1063:D1063"/>
    <mergeCell ref="G1063:H1063"/>
    <mergeCell ref="C1064:D1064"/>
    <mergeCell ref="G1064:H1064"/>
    <mergeCell ref="C1065:D1065"/>
    <mergeCell ref="G1065:H1065"/>
    <mergeCell ref="C1066:D1066"/>
    <mergeCell ref="G1066:H1066"/>
    <mergeCell ref="C1067:D1067"/>
    <mergeCell ref="G1067:H1067"/>
    <mergeCell ref="C1068:D1068"/>
    <mergeCell ref="G1068:H1068"/>
    <mergeCell ref="C1069:D1069"/>
    <mergeCell ref="G1069:H1069"/>
    <mergeCell ref="C1070:D1070"/>
    <mergeCell ref="E1070:F1070"/>
    <mergeCell ref="G1070:H1070"/>
    <mergeCell ref="C1083:H1083"/>
    <mergeCell ref="C1084:H1084"/>
    <mergeCell ref="C1085:H1085"/>
    <mergeCell ref="A1104:B1104"/>
    <mergeCell ref="C1110:D1110"/>
    <mergeCell ref="G1110:H1110"/>
    <mergeCell ref="C1111:D1111"/>
    <mergeCell ref="G1111:H1111"/>
    <mergeCell ref="C1112:D1112"/>
    <mergeCell ref="G1112:H1112"/>
    <mergeCell ref="C1113:D1113"/>
    <mergeCell ref="G1113:H1113"/>
    <mergeCell ref="C1114:D1114"/>
    <mergeCell ref="G1114:H1114"/>
    <mergeCell ref="C1115:D1115"/>
    <mergeCell ref="G1115:H1115"/>
    <mergeCell ref="C1116:D1116"/>
    <mergeCell ref="G1116:H1116"/>
    <mergeCell ref="C1117:D1117"/>
    <mergeCell ref="E1117:F1117"/>
    <mergeCell ref="G1117:H1117"/>
    <mergeCell ref="C1126:H1126"/>
    <mergeCell ref="C1127:H1127"/>
    <mergeCell ref="C1128:H1128"/>
    <mergeCell ref="A1147:B1147"/>
    <mergeCell ref="C1153:D1153"/>
    <mergeCell ref="G1153:H1153"/>
    <mergeCell ref="C1154:D1154"/>
    <mergeCell ref="G1154:H1154"/>
    <mergeCell ref="C1155:D1155"/>
    <mergeCell ref="G1155:H1155"/>
    <mergeCell ref="C1156:D1156"/>
    <mergeCell ref="G1156:H1156"/>
    <mergeCell ref="C1157:D1157"/>
    <mergeCell ref="G1157:H1157"/>
    <mergeCell ref="C1158:D1158"/>
    <mergeCell ref="G1158:H1158"/>
    <mergeCell ref="C1159:D1159"/>
    <mergeCell ref="G1159:H1159"/>
    <mergeCell ref="C1160:D1160"/>
    <mergeCell ref="E1160:F1160"/>
    <mergeCell ref="G1160:H1160"/>
    <mergeCell ref="C1171:H1171"/>
    <mergeCell ref="C1172:H1172"/>
    <mergeCell ref="C1173:H1173"/>
    <mergeCell ref="A1192:B1192"/>
    <mergeCell ref="G1198:H1198"/>
    <mergeCell ref="G1199:H1199"/>
    <mergeCell ref="G1200:H1200"/>
    <mergeCell ref="G1201:H1201"/>
    <mergeCell ref="G1202:H1202"/>
    <mergeCell ref="G1203:H1203"/>
    <mergeCell ref="G1204:H1204"/>
    <mergeCell ref="E1205:F1205"/>
    <mergeCell ref="G1205:H1205"/>
    <mergeCell ref="C1216:H1216"/>
    <mergeCell ref="C1217:H1217"/>
    <mergeCell ref="C1218:H1218"/>
    <mergeCell ref="A1237:B1237"/>
    <mergeCell ref="C1243:D1243"/>
    <mergeCell ref="G1243:H1243"/>
    <mergeCell ref="C1244:D1244"/>
    <mergeCell ref="G1244:H1244"/>
    <mergeCell ref="C1245:D1245"/>
    <mergeCell ref="G1245:H1245"/>
    <mergeCell ref="C1246:D1246"/>
    <mergeCell ref="G1246:H1246"/>
    <mergeCell ref="C1247:D1247"/>
    <mergeCell ref="G1247:H1247"/>
    <mergeCell ref="C1248:D1248"/>
    <mergeCell ref="G1248:H1248"/>
    <mergeCell ref="C1249:D1249"/>
    <mergeCell ref="G1249:H1249"/>
    <mergeCell ref="C1250:D1250"/>
    <mergeCell ref="E1250:F1250"/>
    <mergeCell ref="G1250:H1250"/>
    <mergeCell ref="C1261:H1261"/>
    <mergeCell ref="C1262:H1262"/>
    <mergeCell ref="C1263:H1263"/>
    <mergeCell ref="A1282:B1282"/>
    <mergeCell ref="C1288:D1288"/>
    <mergeCell ref="G1288:H1288"/>
    <mergeCell ref="C1289:D1289"/>
    <mergeCell ref="G1289:H1289"/>
    <mergeCell ref="C1290:D1290"/>
    <mergeCell ref="G1290:H1290"/>
    <mergeCell ref="C1291:D1291"/>
    <mergeCell ref="G1291:H1291"/>
    <mergeCell ref="C1292:D1292"/>
    <mergeCell ref="G1292:H1292"/>
    <mergeCell ref="C1293:D1293"/>
    <mergeCell ref="G1293:H1293"/>
    <mergeCell ref="C1294:D1294"/>
    <mergeCell ref="G1294:H1294"/>
    <mergeCell ref="C1295:D1295"/>
    <mergeCell ref="E1295:F1295"/>
    <mergeCell ref="G1295:H1295"/>
    <mergeCell ref="C1306:H1306"/>
    <mergeCell ref="C1307:H1307"/>
    <mergeCell ref="C1308:H1308"/>
    <mergeCell ref="A1327:B1327"/>
    <mergeCell ref="C1333:D1333"/>
    <mergeCell ref="G1333:H1333"/>
    <mergeCell ref="C1334:D1334"/>
    <mergeCell ref="G1334:H1334"/>
    <mergeCell ref="C1335:D1335"/>
    <mergeCell ref="G1335:H1335"/>
    <mergeCell ref="C1336:D1336"/>
    <mergeCell ref="G1336:H1336"/>
    <mergeCell ref="C1337:D1337"/>
    <mergeCell ref="G1337:H1337"/>
    <mergeCell ref="C1338:D1338"/>
    <mergeCell ref="G1338:H1338"/>
    <mergeCell ref="C1339:D1339"/>
    <mergeCell ref="G1339:H1339"/>
    <mergeCell ref="C1340:D1340"/>
    <mergeCell ref="E1340:F1340"/>
    <mergeCell ref="G1340:H1340"/>
    <mergeCell ref="C1351:H1351"/>
    <mergeCell ref="C1352:H1352"/>
    <mergeCell ref="C1353:H1353"/>
    <mergeCell ref="A1372:B1372"/>
    <mergeCell ref="C1378:D1378"/>
    <mergeCell ref="G1378:H1378"/>
    <mergeCell ref="C1379:D1379"/>
    <mergeCell ref="G1379:H1379"/>
    <mergeCell ref="C1380:D1380"/>
    <mergeCell ref="G1380:H1380"/>
    <mergeCell ref="C1381:D1381"/>
    <mergeCell ref="G1381:H1381"/>
    <mergeCell ref="C1382:D1382"/>
    <mergeCell ref="G1382:H1382"/>
    <mergeCell ref="C1383:D1383"/>
    <mergeCell ref="G1383:H1383"/>
    <mergeCell ref="C1384:D1384"/>
    <mergeCell ref="G1384:H1384"/>
    <mergeCell ref="C1385:D1385"/>
    <mergeCell ref="E1385:F1385"/>
    <mergeCell ref="G1385:H1385"/>
    <mergeCell ref="A12:A15"/>
    <mergeCell ref="A57:A60"/>
    <mergeCell ref="A102:A105"/>
    <mergeCell ref="A147:A150"/>
    <mergeCell ref="A192:A195"/>
    <mergeCell ref="A237:A240"/>
    <mergeCell ref="A282:A285"/>
    <mergeCell ref="A327:A330"/>
    <mergeCell ref="A372:A375"/>
    <mergeCell ref="A417:A420"/>
    <mergeCell ref="A462:A465"/>
    <mergeCell ref="A507:A510"/>
    <mergeCell ref="A552:A555"/>
    <mergeCell ref="A597:A600"/>
    <mergeCell ref="A642:A645"/>
    <mergeCell ref="A687:A690"/>
    <mergeCell ref="A732:A735"/>
    <mergeCell ref="A777:A780"/>
    <mergeCell ref="A822:A825"/>
    <mergeCell ref="A867:A870"/>
    <mergeCell ref="A912:A915"/>
    <mergeCell ref="A957:A960"/>
    <mergeCell ref="A1002:A1005"/>
    <mergeCell ref="A1047:A1050"/>
    <mergeCell ref="A1094:A1097"/>
    <mergeCell ref="A1137:A1140"/>
    <mergeCell ref="A1182:A1185"/>
    <mergeCell ref="A1227:A1230"/>
    <mergeCell ref="A1272:A1275"/>
    <mergeCell ref="A1317:A1320"/>
    <mergeCell ref="A1362:A1365"/>
    <mergeCell ref="F12:F13"/>
    <mergeCell ref="F14:F15"/>
    <mergeCell ref="F57:F58"/>
    <mergeCell ref="F59:F60"/>
    <mergeCell ref="F102:F103"/>
    <mergeCell ref="F104:F105"/>
    <mergeCell ref="F147:F148"/>
    <mergeCell ref="F149:F150"/>
    <mergeCell ref="F192:F193"/>
    <mergeCell ref="F194:F195"/>
    <mergeCell ref="F237:F238"/>
    <mergeCell ref="F239:F240"/>
    <mergeCell ref="F282:F283"/>
    <mergeCell ref="F284:F285"/>
    <mergeCell ref="F327:F328"/>
    <mergeCell ref="F329:F330"/>
    <mergeCell ref="F372:F373"/>
    <mergeCell ref="F374:F375"/>
    <mergeCell ref="F417:F418"/>
    <mergeCell ref="F419:F420"/>
    <mergeCell ref="F462:F463"/>
    <mergeCell ref="F464:F465"/>
    <mergeCell ref="F507:F508"/>
    <mergeCell ref="F509:F510"/>
    <mergeCell ref="F552:F553"/>
    <mergeCell ref="F554:F555"/>
    <mergeCell ref="F597:F598"/>
    <mergeCell ref="F599:F600"/>
    <mergeCell ref="F642:F643"/>
    <mergeCell ref="F644:F645"/>
    <mergeCell ref="F687:F688"/>
    <mergeCell ref="F689:F690"/>
    <mergeCell ref="F732:F733"/>
    <mergeCell ref="F734:F735"/>
    <mergeCell ref="F777:F778"/>
    <mergeCell ref="F779:F780"/>
    <mergeCell ref="F822:F823"/>
    <mergeCell ref="F824:F825"/>
    <mergeCell ref="F867:F868"/>
    <mergeCell ref="F869:F870"/>
    <mergeCell ref="F912:F913"/>
    <mergeCell ref="F914:F915"/>
    <mergeCell ref="F957:F958"/>
    <mergeCell ref="F959:F960"/>
    <mergeCell ref="F1002:F1003"/>
    <mergeCell ref="F1004:F1005"/>
    <mergeCell ref="F1047:F1048"/>
    <mergeCell ref="F1049:F1050"/>
    <mergeCell ref="F1094:F1095"/>
    <mergeCell ref="F1096:F1097"/>
    <mergeCell ref="F1137:F1138"/>
    <mergeCell ref="F1139:F1140"/>
    <mergeCell ref="F1182:F1183"/>
    <mergeCell ref="F1184:F1185"/>
    <mergeCell ref="F1227:F1228"/>
    <mergeCell ref="F1229:F1230"/>
    <mergeCell ref="F1272:F1273"/>
    <mergeCell ref="F1274:F1275"/>
    <mergeCell ref="F1317:F1318"/>
    <mergeCell ref="F1319:F1320"/>
    <mergeCell ref="F1362:F1363"/>
    <mergeCell ref="F1364:F1365"/>
    <mergeCell ref="G12:G13"/>
    <mergeCell ref="G14:G15"/>
    <mergeCell ref="G57:G58"/>
    <mergeCell ref="G59:G60"/>
    <mergeCell ref="G102:G103"/>
    <mergeCell ref="G104:G105"/>
    <mergeCell ref="G147:G148"/>
    <mergeCell ref="G149:G150"/>
    <mergeCell ref="G192:G193"/>
    <mergeCell ref="G194:G195"/>
    <mergeCell ref="G237:G238"/>
    <mergeCell ref="G239:G240"/>
    <mergeCell ref="G282:G283"/>
    <mergeCell ref="G284:G285"/>
    <mergeCell ref="G327:G328"/>
    <mergeCell ref="G329:G330"/>
    <mergeCell ref="G372:G373"/>
    <mergeCell ref="G374:G375"/>
    <mergeCell ref="G417:G418"/>
    <mergeCell ref="G419:G420"/>
    <mergeCell ref="G462:G463"/>
    <mergeCell ref="G464:G465"/>
    <mergeCell ref="G507:G508"/>
    <mergeCell ref="G509:G510"/>
    <mergeCell ref="G552:G553"/>
    <mergeCell ref="G554:G555"/>
    <mergeCell ref="G597:G598"/>
    <mergeCell ref="G599:G600"/>
    <mergeCell ref="G642:G643"/>
    <mergeCell ref="G644:G645"/>
    <mergeCell ref="G687:G688"/>
    <mergeCell ref="G689:G690"/>
    <mergeCell ref="G732:G733"/>
    <mergeCell ref="G734:G735"/>
    <mergeCell ref="G777:G778"/>
    <mergeCell ref="G779:G780"/>
    <mergeCell ref="G822:G823"/>
    <mergeCell ref="G824:G825"/>
    <mergeCell ref="G867:G868"/>
    <mergeCell ref="G869:G870"/>
    <mergeCell ref="G912:G913"/>
    <mergeCell ref="G914:G915"/>
    <mergeCell ref="G957:G958"/>
    <mergeCell ref="G959:G960"/>
    <mergeCell ref="G1002:G1003"/>
    <mergeCell ref="G1004:G1005"/>
    <mergeCell ref="G1047:G1048"/>
    <mergeCell ref="G1049:G1050"/>
    <mergeCell ref="G1094:G1095"/>
    <mergeCell ref="G1096:G1097"/>
    <mergeCell ref="G1137:G1138"/>
    <mergeCell ref="G1139:G1140"/>
    <mergeCell ref="G1182:G1183"/>
    <mergeCell ref="G1184:G1185"/>
    <mergeCell ref="G1227:G1228"/>
    <mergeCell ref="G1229:G1230"/>
    <mergeCell ref="G1272:G1273"/>
    <mergeCell ref="G1274:G1275"/>
    <mergeCell ref="G1317:G1318"/>
    <mergeCell ref="G1319:G1320"/>
    <mergeCell ref="G1362:G1363"/>
    <mergeCell ref="G1364:G1365"/>
    <mergeCell ref="H12:H13"/>
    <mergeCell ref="H14:H15"/>
    <mergeCell ref="H57:H58"/>
    <mergeCell ref="H59:H60"/>
    <mergeCell ref="H102:H103"/>
    <mergeCell ref="H104:H105"/>
    <mergeCell ref="H147:H148"/>
    <mergeCell ref="H149:H150"/>
    <mergeCell ref="H192:H193"/>
    <mergeCell ref="H194:H195"/>
    <mergeCell ref="H237:H238"/>
    <mergeCell ref="H239:H240"/>
    <mergeCell ref="H282:H283"/>
    <mergeCell ref="H284:H285"/>
    <mergeCell ref="H327:H328"/>
    <mergeCell ref="H329:H330"/>
    <mergeCell ref="H372:H373"/>
    <mergeCell ref="H374:H375"/>
    <mergeCell ref="H417:H418"/>
    <mergeCell ref="H419:H420"/>
    <mergeCell ref="H462:H463"/>
    <mergeCell ref="H464:H465"/>
    <mergeCell ref="H507:H508"/>
    <mergeCell ref="H509:H510"/>
    <mergeCell ref="H552:H553"/>
    <mergeCell ref="H554:H555"/>
    <mergeCell ref="H597:H598"/>
    <mergeCell ref="H599:H600"/>
    <mergeCell ref="H642:H643"/>
    <mergeCell ref="H644:H645"/>
    <mergeCell ref="H687:H688"/>
    <mergeCell ref="H689:H690"/>
    <mergeCell ref="H732:H733"/>
    <mergeCell ref="H734:H735"/>
    <mergeCell ref="H777:H778"/>
    <mergeCell ref="H779:H780"/>
    <mergeCell ref="H822:H823"/>
    <mergeCell ref="H824:H825"/>
    <mergeCell ref="H867:H868"/>
    <mergeCell ref="H869:H870"/>
    <mergeCell ref="H912:H913"/>
    <mergeCell ref="H914:H915"/>
    <mergeCell ref="H957:H958"/>
    <mergeCell ref="H959:H960"/>
    <mergeCell ref="H1002:H1003"/>
    <mergeCell ref="H1004:H1005"/>
    <mergeCell ref="H1047:H1048"/>
    <mergeCell ref="H1049:H1050"/>
    <mergeCell ref="H1094:H1095"/>
    <mergeCell ref="H1096:H1097"/>
    <mergeCell ref="H1137:H1138"/>
    <mergeCell ref="H1139:H1140"/>
    <mergeCell ref="H1182:H1183"/>
    <mergeCell ref="H1184:H1185"/>
    <mergeCell ref="H1227:H1228"/>
    <mergeCell ref="H1229:H1230"/>
    <mergeCell ref="H1272:H1273"/>
    <mergeCell ref="H1274:H1275"/>
    <mergeCell ref="H1317:H1318"/>
    <mergeCell ref="H1319:H1320"/>
    <mergeCell ref="H1362:H1363"/>
    <mergeCell ref="H1364:H1365"/>
  </mergeCells>
  <pageMargins left="0.7" right="0.7" top="0.75" bottom="0.75" header="0.3" footer="0.3"/>
  <pageSetup paperSize="1" fitToWidth="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view="pageBreakPreview" zoomScaleNormal="100" workbookViewId="0">
      <selection activeCell="J12" sqref="J12"/>
    </sheetView>
  </sheetViews>
  <sheetFormatPr defaultColWidth="9" defaultRowHeight="15"/>
  <cols>
    <col min="1" max="1" width="11.4285714285714" customWidth="1"/>
    <col min="5" max="5" width="12.5714285714286" customWidth="1"/>
    <col min="6" max="6" width="17.8571428571429" customWidth="1"/>
    <col min="7" max="7" width="10.5714285714286" customWidth="1"/>
    <col min="9" max="9" width="13.4285714285714" customWidth="1"/>
  </cols>
  <sheetData>
    <row r="1" spans="1:10">
      <c r="A1" s="174"/>
      <c r="B1" s="174"/>
      <c r="C1" s="174"/>
      <c r="D1" s="174"/>
      <c r="E1" s="174"/>
      <c r="F1" s="174"/>
      <c r="G1" s="174"/>
      <c r="H1" s="174"/>
      <c r="I1" s="175" t="s">
        <v>29</v>
      </c>
      <c r="J1" s="174"/>
    </row>
    <row r="2" spans="1:10">
      <c r="A2" s="176" t="s">
        <v>62</v>
      </c>
      <c r="B2" s="176" t="s">
        <v>63</v>
      </c>
      <c r="C2" s="176" t="s">
        <v>64</v>
      </c>
      <c r="D2" s="176" t="s">
        <v>18</v>
      </c>
      <c r="E2" s="176" t="s">
        <v>23</v>
      </c>
      <c r="F2" s="176" t="s">
        <v>65</v>
      </c>
      <c r="G2" s="176" t="s">
        <v>66</v>
      </c>
      <c r="H2" s="176" t="s">
        <v>67</v>
      </c>
      <c r="I2" s="176" t="s">
        <v>68</v>
      </c>
      <c r="J2" s="176" t="s">
        <v>69</v>
      </c>
    </row>
    <row r="3" spans="1:10">
      <c r="A3" s="177">
        <v>46082</v>
      </c>
      <c r="B3" s="178">
        <v>6646</v>
      </c>
      <c r="C3" s="178">
        <v>0</v>
      </c>
      <c r="D3" s="178">
        <f t="shared" ref="D3:D33" si="0">B3+C3</f>
        <v>6646</v>
      </c>
      <c r="E3" s="178">
        <f>Harian!F12</f>
        <v>900</v>
      </c>
      <c r="F3" s="178">
        <f t="shared" ref="F3:F33" si="1">D3-E3</f>
        <v>5746</v>
      </c>
      <c r="G3" s="178">
        <v>5744</v>
      </c>
      <c r="H3" s="178">
        <f t="shared" ref="H3:H33" si="2">G3-F3</f>
        <v>-2</v>
      </c>
      <c r="I3" s="178"/>
      <c r="J3" s="178"/>
    </row>
    <row r="4" spans="1:10">
      <c r="A4" s="177">
        <v>46083</v>
      </c>
      <c r="B4" s="178">
        <f t="shared" ref="B4:B33" si="3">G3</f>
        <v>5744</v>
      </c>
      <c r="C4" s="178">
        <v>0</v>
      </c>
      <c r="D4" s="178">
        <f t="shared" si="0"/>
        <v>5744</v>
      </c>
      <c r="E4" s="178">
        <v>1090</v>
      </c>
      <c r="F4" s="178">
        <f t="shared" si="1"/>
        <v>4654</v>
      </c>
      <c r="G4" s="178">
        <v>4649</v>
      </c>
      <c r="H4" s="178">
        <f t="shared" si="2"/>
        <v>-5</v>
      </c>
      <c r="I4" s="178"/>
      <c r="J4" s="178"/>
    </row>
    <row r="5" spans="1:10">
      <c r="A5" s="177">
        <v>46084</v>
      </c>
      <c r="B5" s="178">
        <f t="shared" si="3"/>
        <v>4649</v>
      </c>
      <c r="C5" s="178"/>
      <c r="D5" s="178">
        <f t="shared" si="0"/>
        <v>4649</v>
      </c>
      <c r="E5" s="178">
        <v>939</v>
      </c>
      <c r="F5" s="178">
        <f t="shared" si="1"/>
        <v>3710</v>
      </c>
      <c r="G5" s="178">
        <v>3702</v>
      </c>
      <c r="H5" s="178">
        <f t="shared" si="2"/>
        <v>-8</v>
      </c>
      <c r="I5" s="178"/>
      <c r="J5" s="178"/>
    </row>
    <row r="6" spans="1:10">
      <c r="A6" s="177">
        <v>46085</v>
      </c>
      <c r="B6" s="178">
        <f t="shared" si="3"/>
        <v>3702</v>
      </c>
      <c r="C6" s="178">
        <v>5000</v>
      </c>
      <c r="D6" s="178">
        <f t="shared" si="0"/>
        <v>8702</v>
      </c>
      <c r="E6" s="178">
        <v>949</v>
      </c>
      <c r="F6" s="178">
        <f t="shared" si="1"/>
        <v>7753</v>
      </c>
      <c r="G6" s="178">
        <v>7757</v>
      </c>
      <c r="H6" s="178">
        <f t="shared" si="2"/>
        <v>4</v>
      </c>
      <c r="I6" s="178"/>
      <c r="J6" s="178"/>
    </row>
    <row r="7" spans="1:10">
      <c r="A7" s="177">
        <v>46086</v>
      </c>
      <c r="B7" s="178">
        <f t="shared" si="3"/>
        <v>7757</v>
      </c>
      <c r="C7" s="178">
        <v>0</v>
      </c>
      <c r="D7" s="178">
        <f t="shared" si="0"/>
        <v>7757</v>
      </c>
      <c r="E7" s="178">
        <f>Harian!F192</f>
        <v>1032</v>
      </c>
      <c r="F7" s="178">
        <f t="shared" si="1"/>
        <v>6725</v>
      </c>
      <c r="G7" s="178">
        <v>6730</v>
      </c>
      <c r="H7" s="178">
        <f t="shared" si="2"/>
        <v>5</v>
      </c>
      <c r="I7" s="178"/>
      <c r="J7" s="178"/>
    </row>
    <row r="8" spans="1:10">
      <c r="A8" s="177">
        <v>46087</v>
      </c>
      <c r="B8" s="178">
        <f t="shared" si="3"/>
        <v>6730</v>
      </c>
      <c r="C8" s="178">
        <v>0</v>
      </c>
      <c r="D8" s="178">
        <f t="shared" si="0"/>
        <v>6730</v>
      </c>
      <c r="E8" s="178">
        <v>975</v>
      </c>
      <c r="F8" s="178">
        <f t="shared" si="1"/>
        <v>5755</v>
      </c>
      <c r="G8" s="178">
        <v>5754</v>
      </c>
      <c r="H8" s="178">
        <f t="shared" si="2"/>
        <v>-1</v>
      </c>
      <c r="I8" s="178"/>
      <c r="J8" s="178"/>
    </row>
    <row r="9" spans="1:10">
      <c r="A9" s="177">
        <v>46088</v>
      </c>
      <c r="B9" s="178">
        <f t="shared" si="3"/>
        <v>5754</v>
      </c>
      <c r="C9" s="178">
        <v>0</v>
      </c>
      <c r="D9" s="178">
        <f t="shared" si="0"/>
        <v>5754</v>
      </c>
      <c r="E9" s="178">
        <f>Harian!F282</f>
        <v>1090</v>
      </c>
      <c r="F9" s="178">
        <f t="shared" si="1"/>
        <v>4664</v>
      </c>
      <c r="G9" s="178">
        <v>4659</v>
      </c>
      <c r="H9" s="178">
        <f t="shared" si="2"/>
        <v>-5</v>
      </c>
      <c r="I9" s="178"/>
      <c r="J9" s="178"/>
    </row>
    <row r="10" spans="1:10">
      <c r="A10" s="177">
        <v>46089</v>
      </c>
      <c r="B10" s="178">
        <f t="shared" si="3"/>
        <v>4659</v>
      </c>
      <c r="C10" s="178">
        <v>0</v>
      </c>
      <c r="D10" s="178">
        <f t="shared" si="0"/>
        <v>4659</v>
      </c>
      <c r="E10" s="178">
        <f>Harian!F327</f>
        <v>902</v>
      </c>
      <c r="F10" s="178">
        <f t="shared" si="1"/>
        <v>3757</v>
      </c>
      <c r="G10" s="178">
        <v>3749</v>
      </c>
      <c r="H10" s="178">
        <f t="shared" si="2"/>
        <v>-8</v>
      </c>
      <c r="I10" s="178"/>
      <c r="J10" s="178"/>
    </row>
    <row r="11" ht="15.75" spans="1:10">
      <c r="A11" s="177">
        <v>46090</v>
      </c>
      <c r="B11" s="178">
        <f t="shared" si="3"/>
        <v>3749</v>
      </c>
      <c r="C11" s="178">
        <v>5000</v>
      </c>
      <c r="D11" s="178">
        <f t="shared" si="0"/>
        <v>8749</v>
      </c>
      <c r="E11" s="179">
        <v>909</v>
      </c>
      <c r="F11" s="178">
        <f t="shared" si="1"/>
        <v>7840</v>
      </c>
      <c r="G11" s="179">
        <v>7848</v>
      </c>
      <c r="H11" s="178">
        <f t="shared" si="2"/>
        <v>8</v>
      </c>
      <c r="I11" s="178"/>
      <c r="J11" s="178"/>
    </row>
    <row r="12" ht="15.75" spans="1:10">
      <c r="A12" s="177">
        <v>46091</v>
      </c>
      <c r="B12" s="178">
        <f t="shared" si="3"/>
        <v>7848</v>
      </c>
      <c r="C12" s="178">
        <v>0</v>
      </c>
      <c r="D12" s="178">
        <f t="shared" si="0"/>
        <v>7848</v>
      </c>
      <c r="E12" s="180">
        <v>862</v>
      </c>
      <c r="F12" s="178">
        <f t="shared" si="1"/>
        <v>6986</v>
      </c>
      <c r="G12" s="180">
        <v>6988</v>
      </c>
      <c r="H12" s="178">
        <f t="shared" si="2"/>
        <v>2</v>
      </c>
      <c r="I12" s="178"/>
      <c r="J12" s="178"/>
    </row>
    <row r="13" ht="15.75" spans="1:10">
      <c r="A13" s="177">
        <v>46092</v>
      </c>
      <c r="B13" s="178">
        <f t="shared" si="3"/>
        <v>6988</v>
      </c>
      <c r="C13" s="178">
        <v>0</v>
      </c>
      <c r="D13" s="178">
        <f t="shared" si="0"/>
        <v>6988</v>
      </c>
      <c r="E13" s="179">
        <v>1141</v>
      </c>
      <c r="F13" s="178">
        <f t="shared" si="1"/>
        <v>5847</v>
      </c>
      <c r="G13" s="179">
        <v>5844</v>
      </c>
      <c r="H13" s="178">
        <f t="shared" si="2"/>
        <v>-3</v>
      </c>
      <c r="I13" s="178"/>
      <c r="J13" s="178"/>
    </row>
    <row r="14" spans="1:10">
      <c r="A14" s="177">
        <v>46093</v>
      </c>
      <c r="B14" s="178">
        <f t="shared" si="3"/>
        <v>5844</v>
      </c>
      <c r="C14" s="178">
        <v>0</v>
      </c>
      <c r="D14" s="178">
        <f t="shared" si="0"/>
        <v>5844</v>
      </c>
      <c r="E14" s="178">
        <f>Harian!F507</f>
        <v>958</v>
      </c>
      <c r="F14" s="178">
        <f t="shared" si="1"/>
        <v>4886</v>
      </c>
      <c r="G14" s="178">
        <v>4881</v>
      </c>
      <c r="H14" s="178">
        <f t="shared" si="2"/>
        <v>-5</v>
      </c>
      <c r="I14" s="178"/>
      <c r="J14" s="178"/>
    </row>
    <row r="15" spans="1:10">
      <c r="A15" s="177">
        <v>46094</v>
      </c>
      <c r="B15" s="178">
        <f t="shared" si="3"/>
        <v>4881</v>
      </c>
      <c r="C15" s="178">
        <v>0</v>
      </c>
      <c r="D15" s="178">
        <f t="shared" si="0"/>
        <v>4881</v>
      </c>
      <c r="E15" s="178">
        <f>Harian!F552</f>
        <v>1033</v>
      </c>
      <c r="F15" s="178">
        <f t="shared" si="1"/>
        <v>3848</v>
      </c>
      <c r="G15" s="178">
        <v>3842</v>
      </c>
      <c r="H15" s="178">
        <f t="shared" si="2"/>
        <v>-6</v>
      </c>
      <c r="I15" s="178"/>
      <c r="J15" s="178"/>
    </row>
    <row r="16" spans="1:10">
      <c r="A16" s="177">
        <v>46095</v>
      </c>
      <c r="B16" s="178">
        <f t="shared" si="3"/>
        <v>3842</v>
      </c>
      <c r="C16" s="178">
        <v>5000</v>
      </c>
      <c r="D16" s="178">
        <f t="shared" si="0"/>
        <v>8842</v>
      </c>
      <c r="E16" s="178">
        <f>Harian!F597</f>
        <v>1179</v>
      </c>
      <c r="F16" s="178">
        <f t="shared" si="1"/>
        <v>7663</v>
      </c>
      <c r="G16" s="178">
        <v>7670</v>
      </c>
      <c r="H16" s="178">
        <f t="shared" si="2"/>
        <v>7</v>
      </c>
      <c r="I16" s="178"/>
      <c r="J16" s="178"/>
    </row>
    <row r="17" spans="1:10">
      <c r="A17" s="177">
        <v>46096</v>
      </c>
      <c r="B17" s="178">
        <f t="shared" si="3"/>
        <v>7670</v>
      </c>
      <c r="C17" s="178">
        <v>0</v>
      </c>
      <c r="D17" s="178">
        <f t="shared" si="0"/>
        <v>7670</v>
      </c>
      <c r="E17" s="178">
        <f>Harian!F642</f>
        <v>942</v>
      </c>
      <c r="F17" s="178">
        <f t="shared" si="1"/>
        <v>6728</v>
      </c>
      <c r="G17" s="178">
        <v>6730</v>
      </c>
      <c r="H17" s="178">
        <f t="shared" si="2"/>
        <v>2</v>
      </c>
      <c r="I17" s="178"/>
      <c r="J17" s="178"/>
    </row>
    <row r="18" ht="15.75" spans="1:10">
      <c r="A18" s="177">
        <v>46097</v>
      </c>
      <c r="B18" s="178">
        <f t="shared" si="3"/>
        <v>6730</v>
      </c>
      <c r="C18" s="178">
        <v>0</v>
      </c>
      <c r="D18" s="178">
        <f t="shared" si="0"/>
        <v>6730</v>
      </c>
      <c r="E18" s="180">
        <v>1222</v>
      </c>
      <c r="F18" s="178">
        <f t="shared" si="1"/>
        <v>5508</v>
      </c>
      <c r="G18" s="180">
        <v>5507</v>
      </c>
      <c r="H18" s="178">
        <f t="shared" si="2"/>
        <v>-1</v>
      </c>
      <c r="I18" s="178"/>
      <c r="J18" s="178"/>
    </row>
    <row r="19" ht="15.75" spans="1:10">
      <c r="A19" s="177">
        <v>46098</v>
      </c>
      <c r="B19" s="178">
        <f t="shared" si="3"/>
        <v>5507</v>
      </c>
      <c r="C19" s="178">
        <v>0</v>
      </c>
      <c r="D19" s="178">
        <f t="shared" si="0"/>
        <v>5507</v>
      </c>
      <c r="E19" s="179">
        <v>1132</v>
      </c>
      <c r="F19" s="178">
        <f t="shared" si="1"/>
        <v>4375</v>
      </c>
      <c r="G19" s="179">
        <v>4368</v>
      </c>
      <c r="H19" s="178">
        <f t="shared" si="2"/>
        <v>-7</v>
      </c>
      <c r="I19" s="178"/>
      <c r="J19" s="178"/>
    </row>
    <row r="20" ht="15.75" spans="1:10">
      <c r="A20" s="177">
        <v>46099</v>
      </c>
      <c r="B20" s="178">
        <f t="shared" si="3"/>
        <v>4368</v>
      </c>
      <c r="C20" s="178">
        <v>5000</v>
      </c>
      <c r="D20" s="178">
        <f t="shared" si="0"/>
        <v>9368</v>
      </c>
      <c r="E20" s="180">
        <v>1575</v>
      </c>
      <c r="F20" s="178">
        <f t="shared" si="1"/>
        <v>7793</v>
      </c>
      <c r="G20" s="180">
        <v>7795</v>
      </c>
      <c r="H20" s="178">
        <f t="shared" si="2"/>
        <v>2</v>
      </c>
      <c r="I20" s="178"/>
      <c r="J20" s="178"/>
    </row>
    <row r="21" spans="1:10">
      <c r="A21" s="177">
        <v>46100</v>
      </c>
      <c r="B21" s="178">
        <f t="shared" si="3"/>
        <v>7795</v>
      </c>
      <c r="C21" s="178">
        <v>0</v>
      </c>
      <c r="D21" s="178">
        <f t="shared" si="0"/>
        <v>7795</v>
      </c>
      <c r="E21" s="178">
        <f>Harian!F822</f>
        <v>1438</v>
      </c>
      <c r="F21" s="178">
        <f t="shared" si="1"/>
        <v>6357</v>
      </c>
      <c r="G21" s="178">
        <v>6362</v>
      </c>
      <c r="H21" s="178">
        <f t="shared" si="2"/>
        <v>5</v>
      </c>
      <c r="I21" s="178"/>
      <c r="J21" s="178"/>
    </row>
    <row r="22" spans="1:10">
      <c r="A22" s="177">
        <v>46101</v>
      </c>
      <c r="B22" s="178">
        <f t="shared" si="3"/>
        <v>6362</v>
      </c>
      <c r="C22" s="178">
        <v>0</v>
      </c>
      <c r="D22" s="178">
        <f t="shared" si="0"/>
        <v>6362</v>
      </c>
      <c r="E22" s="178">
        <f>Harian!F867</f>
        <v>1900</v>
      </c>
      <c r="F22" s="178">
        <f t="shared" si="1"/>
        <v>4462</v>
      </c>
      <c r="G22" s="178">
        <v>4453</v>
      </c>
      <c r="H22" s="178">
        <f t="shared" si="2"/>
        <v>-9</v>
      </c>
      <c r="I22" s="178"/>
      <c r="J22" s="178"/>
    </row>
    <row r="23" spans="1:10">
      <c r="A23" s="177">
        <v>46102</v>
      </c>
      <c r="B23" s="178">
        <f t="shared" si="3"/>
        <v>4453</v>
      </c>
      <c r="C23" s="178">
        <v>0</v>
      </c>
      <c r="D23" s="178">
        <f t="shared" si="0"/>
        <v>4453</v>
      </c>
      <c r="E23" s="178">
        <v>1088</v>
      </c>
      <c r="F23" s="178">
        <f t="shared" si="1"/>
        <v>3365</v>
      </c>
      <c r="G23" s="178">
        <v>3358</v>
      </c>
      <c r="H23" s="178">
        <f t="shared" si="2"/>
        <v>-7</v>
      </c>
      <c r="I23" s="178"/>
      <c r="J23" s="178"/>
    </row>
    <row r="24" spans="1:10">
      <c r="A24" s="177">
        <v>46103</v>
      </c>
      <c r="B24" s="178">
        <f t="shared" si="3"/>
        <v>3358</v>
      </c>
      <c r="C24" s="178">
        <v>5000</v>
      </c>
      <c r="D24" s="178">
        <f t="shared" si="0"/>
        <v>8358</v>
      </c>
      <c r="E24" s="178">
        <v>1141</v>
      </c>
      <c r="F24" s="178">
        <f t="shared" si="1"/>
        <v>7217</v>
      </c>
      <c r="G24" s="178">
        <v>7209</v>
      </c>
      <c r="H24" s="178">
        <f t="shared" si="2"/>
        <v>-8</v>
      </c>
      <c r="I24" s="178"/>
      <c r="J24" s="178"/>
    </row>
    <row r="25" ht="15.75" spans="1:10">
      <c r="A25" s="177">
        <v>46104</v>
      </c>
      <c r="B25" s="178">
        <f t="shared" si="3"/>
        <v>7209</v>
      </c>
      <c r="C25" s="178">
        <v>0</v>
      </c>
      <c r="D25" s="178">
        <f t="shared" si="0"/>
        <v>7209</v>
      </c>
      <c r="E25" s="179">
        <v>1250</v>
      </c>
      <c r="F25" s="160">
        <f t="shared" si="1"/>
        <v>5959</v>
      </c>
      <c r="G25" s="179">
        <v>5951</v>
      </c>
      <c r="H25" s="178">
        <f t="shared" si="2"/>
        <v>-8</v>
      </c>
      <c r="I25" s="178"/>
      <c r="J25" s="178"/>
    </row>
    <row r="26" ht="15.75" spans="1:10">
      <c r="A26" s="177">
        <v>46105</v>
      </c>
      <c r="B26" s="178">
        <f t="shared" si="3"/>
        <v>5951</v>
      </c>
      <c r="C26" s="178">
        <v>0</v>
      </c>
      <c r="D26" s="178">
        <f t="shared" si="0"/>
        <v>5951</v>
      </c>
      <c r="E26" s="181">
        <v>1292</v>
      </c>
      <c r="F26" s="160">
        <f t="shared" si="1"/>
        <v>4659</v>
      </c>
      <c r="G26" s="181">
        <v>4652</v>
      </c>
      <c r="H26" s="178">
        <f t="shared" si="2"/>
        <v>-7</v>
      </c>
      <c r="I26" s="178"/>
      <c r="J26" s="178"/>
    </row>
    <row r="27" ht="15.75" spans="1:10">
      <c r="A27" s="177">
        <v>46106</v>
      </c>
      <c r="B27" s="178">
        <f t="shared" si="3"/>
        <v>4652</v>
      </c>
      <c r="C27" s="178">
        <v>0</v>
      </c>
      <c r="D27" s="178">
        <f t="shared" si="0"/>
        <v>4652</v>
      </c>
      <c r="E27" s="179">
        <v>2332</v>
      </c>
      <c r="F27" s="160">
        <f t="shared" si="1"/>
        <v>2320</v>
      </c>
      <c r="G27" s="179">
        <v>2315</v>
      </c>
      <c r="H27" s="178">
        <f t="shared" si="2"/>
        <v>-5</v>
      </c>
      <c r="I27" s="178"/>
      <c r="J27" s="178"/>
    </row>
    <row r="28" spans="1:10">
      <c r="A28" s="177">
        <v>46107</v>
      </c>
      <c r="B28" s="178">
        <f t="shared" si="3"/>
        <v>2315</v>
      </c>
      <c r="C28" s="178">
        <v>5000</v>
      </c>
      <c r="D28" s="178">
        <f t="shared" si="0"/>
        <v>7315</v>
      </c>
      <c r="E28" s="178">
        <f>Harian!F1137</f>
        <v>1155</v>
      </c>
      <c r="F28" s="178">
        <f t="shared" si="1"/>
        <v>6160</v>
      </c>
      <c r="G28" s="178">
        <v>6164</v>
      </c>
      <c r="H28" s="178">
        <f t="shared" si="2"/>
        <v>4</v>
      </c>
      <c r="I28" s="178"/>
      <c r="J28" s="178"/>
    </row>
    <row r="29" spans="1:10">
      <c r="A29" s="177">
        <v>46108</v>
      </c>
      <c r="B29" s="178">
        <f t="shared" si="3"/>
        <v>6164</v>
      </c>
      <c r="C29" s="178">
        <v>0</v>
      </c>
      <c r="D29" s="178">
        <f t="shared" si="0"/>
        <v>6164</v>
      </c>
      <c r="E29" s="178">
        <v>894</v>
      </c>
      <c r="F29" s="178">
        <f t="shared" si="1"/>
        <v>5270</v>
      </c>
      <c r="G29" s="178">
        <v>5266</v>
      </c>
      <c r="H29" s="178">
        <f t="shared" si="2"/>
        <v>-4</v>
      </c>
      <c r="I29" s="178"/>
      <c r="J29" s="178"/>
    </row>
    <row r="30" spans="1:10">
      <c r="A30" s="177">
        <v>46109</v>
      </c>
      <c r="B30" s="178">
        <f t="shared" si="3"/>
        <v>5266</v>
      </c>
      <c r="C30" s="178"/>
      <c r="D30" s="178">
        <f t="shared" si="0"/>
        <v>5266</v>
      </c>
      <c r="E30" s="178"/>
      <c r="F30" s="178">
        <f t="shared" si="1"/>
        <v>5266</v>
      </c>
      <c r="G30" s="178"/>
      <c r="H30" s="178">
        <f t="shared" si="2"/>
        <v>-5266</v>
      </c>
      <c r="I30" s="178"/>
      <c r="J30" s="178"/>
    </row>
    <row r="31" spans="1:10">
      <c r="A31" s="177">
        <v>46110</v>
      </c>
      <c r="B31" s="178">
        <f t="shared" si="3"/>
        <v>0</v>
      </c>
      <c r="C31" s="178"/>
      <c r="D31" s="178">
        <f t="shared" si="0"/>
        <v>0</v>
      </c>
      <c r="E31" s="178"/>
      <c r="F31" s="178">
        <f t="shared" si="1"/>
        <v>0</v>
      </c>
      <c r="G31" s="178"/>
      <c r="H31" s="178">
        <f t="shared" si="2"/>
        <v>0</v>
      </c>
      <c r="I31" s="178"/>
      <c r="J31" s="178"/>
    </row>
    <row r="32" spans="1:10">
      <c r="A32" s="177">
        <v>46111</v>
      </c>
      <c r="B32" s="178">
        <f t="shared" si="3"/>
        <v>0</v>
      </c>
      <c r="C32" s="178"/>
      <c r="D32" s="178">
        <f t="shared" si="0"/>
        <v>0</v>
      </c>
      <c r="E32" s="178"/>
      <c r="F32" s="178">
        <f t="shared" si="1"/>
        <v>0</v>
      </c>
      <c r="G32" s="178"/>
      <c r="H32" s="178">
        <f t="shared" si="2"/>
        <v>0</v>
      </c>
      <c r="I32" s="178"/>
      <c r="J32" s="178"/>
    </row>
    <row r="33" spans="1:10">
      <c r="A33" s="177">
        <v>46112</v>
      </c>
      <c r="B33" s="178">
        <f t="shared" si="3"/>
        <v>0</v>
      </c>
      <c r="C33" s="178"/>
      <c r="D33" s="178">
        <f t="shared" si="0"/>
        <v>0</v>
      </c>
      <c r="E33" s="178"/>
      <c r="F33" s="178">
        <f t="shared" si="1"/>
        <v>0</v>
      </c>
      <c r="G33" s="178"/>
      <c r="H33" s="178">
        <f t="shared" si="2"/>
        <v>0</v>
      </c>
      <c r="I33" s="178"/>
      <c r="J33" s="178"/>
    </row>
    <row r="34" spans="1:10">
      <c r="A34" s="174"/>
      <c r="B34" s="174"/>
      <c r="C34" s="174">
        <f>SUM(C3:C33)</f>
        <v>30000</v>
      </c>
      <c r="D34" s="174"/>
      <c r="E34" s="174">
        <f>SUM(E3:E33)</f>
        <v>31320</v>
      </c>
      <c r="F34" s="174"/>
      <c r="G34" s="174"/>
      <c r="H34" s="174"/>
      <c r="I34" s="174"/>
      <c r="J34" s="174"/>
    </row>
    <row r="35" spans="1:10">
      <c r="A35" s="174"/>
      <c r="B35" s="174"/>
      <c r="C35" s="174"/>
      <c r="D35" s="174"/>
      <c r="E35" s="174"/>
      <c r="F35" s="174"/>
      <c r="G35" s="174"/>
      <c r="H35" s="174"/>
      <c r="I35" s="182" t="s">
        <v>70</v>
      </c>
      <c r="J35" s="174"/>
    </row>
    <row r="36" spans="1:10">
      <c r="A36" s="176" t="s">
        <v>62</v>
      </c>
      <c r="B36" s="176" t="s">
        <v>63</v>
      </c>
      <c r="C36" s="176" t="s">
        <v>64</v>
      </c>
      <c r="D36" s="176" t="s">
        <v>18</v>
      </c>
      <c r="E36" s="176" t="s">
        <v>23</v>
      </c>
      <c r="F36" s="176" t="s">
        <v>65</v>
      </c>
      <c r="G36" s="176" t="s">
        <v>66</v>
      </c>
      <c r="H36" s="176" t="s">
        <v>67</v>
      </c>
      <c r="I36" s="176" t="s">
        <v>68</v>
      </c>
      <c r="J36" s="176" t="s">
        <v>69</v>
      </c>
    </row>
    <row r="37" spans="1:10">
      <c r="A37" s="177">
        <v>45717</v>
      </c>
      <c r="B37" s="178">
        <v>6158</v>
      </c>
      <c r="C37" s="178">
        <v>0</v>
      </c>
      <c r="D37" s="178">
        <f t="shared" ref="D37:D67" si="4">B37+C37</f>
        <v>6158</v>
      </c>
      <c r="E37" s="178">
        <f>Harian!F14</f>
        <v>10</v>
      </c>
      <c r="F37" s="178">
        <f t="shared" ref="F37:F67" si="5">D37-E37</f>
        <v>6148</v>
      </c>
      <c r="G37" s="178">
        <v>6148</v>
      </c>
      <c r="H37" s="178">
        <f t="shared" ref="H37:H67" si="6">G37-F37</f>
        <v>0</v>
      </c>
      <c r="I37" s="178"/>
      <c r="J37" s="178"/>
    </row>
    <row r="38" spans="1:10">
      <c r="A38" s="177">
        <v>45718</v>
      </c>
      <c r="B38" s="178">
        <f t="shared" ref="B38:B67" si="7">G37</f>
        <v>6148</v>
      </c>
      <c r="C38" s="178">
        <v>0</v>
      </c>
      <c r="D38" s="178">
        <f t="shared" si="4"/>
        <v>6148</v>
      </c>
      <c r="E38" s="178">
        <v>0</v>
      </c>
      <c r="F38" s="178">
        <f t="shared" si="5"/>
        <v>6148</v>
      </c>
      <c r="G38" s="178">
        <v>6148</v>
      </c>
      <c r="H38" s="178">
        <f t="shared" si="6"/>
        <v>0</v>
      </c>
      <c r="I38" s="178"/>
      <c r="J38" s="178"/>
    </row>
    <row r="39" spans="1:10">
      <c r="A39" s="177">
        <v>45719</v>
      </c>
      <c r="B39" s="178">
        <f t="shared" si="7"/>
        <v>6148</v>
      </c>
      <c r="C39" s="178">
        <v>0</v>
      </c>
      <c r="D39" s="178">
        <f t="shared" si="4"/>
        <v>6148</v>
      </c>
      <c r="E39" s="178">
        <v>63</v>
      </c>
      <c r="F39" s="178">
        <f t="shared" si="5"/>
        <v>6085</v>
      </c>
      <c r="G39" s="178">
        <v>6085</v>
      </c>
      <c r="H39" s="178">
        <f t="shared" si="6"/>
        <v>0</v>
      </c>
      <c r="I39" s="178"/>
      <c r="J39" s="178"/>
    </row>
    <row r="40" spans="1:10">
      <c r="A40" s="177">
        <v>45720</v>
      </c>
      <c r="B40" s="178">
        <f t="shared" si="7"/>
        <v>6085</v>
      </c>
      <c r="C40" s="178">
        <v>0</v>
      </c>
      <c r="D40" s="178">
        <f t="shared" si="4"/>
        <v>6085</v>
      </c>
      <c r="E40" s="178">
        <v>25</v>
      </c>
      <c r="F40" s="178">
        <f t="shared" si="5"/>
        <v>6060</v>
      </c>
      <c r="G40" s="178">
        <v>6060</v>
      </c>
      <c r="H40" s="178">
        <f t="shared" si="6"/>
        <v>0</v>
      </c>
      <c r="I40" s="178"/>
      <c r="J40" s="178"/>
    </row>
    <row r="41" spans="1:10">
      <c r="A41" s="177">
        <v>45721</v>
      </c>
      <c r="B41" s="178">
        <f t="shared" si="7"/>
        <v>6060</v>
      </c>
      <c r="C41" s="178">
        <v>0</v>
      </c>
      <c r="D41" s="178">
        <f t="shared" si="4"/>
        <v>6060</v>
      </c>
      <c r="E41" s="178">
        <f>Harian!F194</f>
        <v>65</v>
      </c>
      <c r="F41" s="178">
        <f t="shared" si="5"/>
        <v>5995</v>
      </c>
      <c r="G41" s="178">
        <v>5995</v>
      </c>
      <c r="H41" s="178">
        <f t="shared" si="6"/>
        <v>0</v>
      </c>
      <c r="I41" s="178"/>
      <c r="J41" s="178"/>
    </row>
    <row r="42" spans="1:10">
      <c r="A42" s="177">
        <v>45722</v>
      </c>
      <c r="B42" s="178">
        <f t="shared" si="7"/>
        <v>5995</v>
      </c>
      <c r="C42" s="178">
        <v>0</v>
      </c>
      <c r="D42" s="178">
        <f t="shared" si="4"/>
        <v>5995</v>
      </c>
      <c r="E42" s="178">
        <v>20</v>
      </c>
      <c r="F42" s="178">
        <f t="shared" si="5"/>
        <v>5975</v>
      </c>
      <c r="G42" s="178">
        <v>5975</v>
      </c>
      <c r="H42" s="178">
        <f t="shared" si="6"/>
        <v>0</v>
      </c>
      <c r="I42" s="178"/>
      <c r="J42" s="178"/>
    </row>
    <row r="43" spans="1:10">
      <c r="A43" s="177">
        <v>45723</v>
      </c>
      <c r="B43" s="178">
        <f t="shared" si="7"/>
        <v>5975</v>
      </c>
      <c r="C43" s="178">
        <v>0</v>
      </c>
      <c r="D43" s="178">
        <f t="shared" si="4"/>
        <v>5975</v>
      </c>
      <c r="E43" s="178">
        <v>1</v>
      </c>
      <c r="F43" s="178">
        <f t="shared" si="5"/>
        <v>5974</v>
      </c>
      <c r="G43" s="178">
        <v>5974</v>
      </c>
      <c r="H43" s="178">
        <f t="shared" si="6"/>
        <v>0</v>
      </c>
      <c r="I43" s="178"/>
      <c r="J43" s="178"/>
    </row>
    <row r="44" spans="1:10">
      <c r="A44" s="177">
        <v>45724</v>
      </c>
      <c r="B44" s="178">
        <f t="shared" si="7"/>
        <v>5974</v>
      </c>
      <c r="C44" s="178">
        <v>0</v>
      </c>
      <c r="D44" s="178">
        <f t="shared" si="4"/>
        <v>5974</v>
      </c>
      <c r="E44" s="178">
        <f>Harian!F329</f>
        <v>87</v>
      </c>
      <c r="F44" s="178">
        <f t="shared" si="5"/>
        <v>5887</v>
      </c>
      <c r="G44" s="178">
        <v>5888</v>
      </c>
      <c r="H44" s="178">
        <f t="shared" si="6"/>
        <v>1</v>
      </c>
      <c r="I44" s="178"/>
      <c r="J44" s="178"/>
    </row>
    <row r="45" spans="1:10">
      <c r="A45" s="177">
        <v>45725</v>
      </c>
      <c r="B45" s="178">
        <f t="shared" si="7"/>
        <v>5888</v>
      </c>
      <c r="C45" s="178">
        <v>0</v>
      </c>
      <c r="D45" s="178">
        <f t="shared" si="4"/>
        <v>5888</v>
      </c>
      <c r="E45" s="183">
        <v>74</v>
      </c>
      <c r="F45" s="178">
        <f t="shared" si="5"/>
        <v>5814</v>
      </c>
      <c r="G45" s="183">
        <v>5813</v>
      </c>
      <c r="H45" s="178">
        <f t="shared" si="6"/>
        <v>-1</v>
      </c>
      <c r="I45" s="178"/>
      <c r="J45" s="178"/>
    </row>
    <row r="46" spans="1:10">
      <c r="A46" s="177">
        <v>45726</v>
      </c>
      <c r="B46" s="178">
        <f t="shared" si="7"/>
        <v>5813</v>
      </c>
      <c r="C46" s="178">
        <v>0</v>
      </c>
      <c r="D46" s="178">
        <f t="shared" si="4"/>
        <v>5813</v>
      </c>
      <c r="E46" s="160">
        <v>30</v>
      </c>
      <c r="F46" s="178">
        <f t="shared" si="5"/>
        <v>5783</v>
      </c>
      <c r="G46" s="160">
        <v>5784</v>
      </c>
      <c r="H46" s="178">
        <f t="shared" si="6"/>
        <v>1</v>
      </c>
      <c r="I46" s="178"/>
      <c r="J46" s="178"/>
    </row>
    <row r="47" spans="1:10">
      <c r="A47" s="177">
        <v>45727</v>
      </c>
      <c r="B47" s="178">
        <f t="shared" si="7"/>
        <v>5784</v>
      </c>
      <c r="C47" s="178">
        <v>0</v>
      </c>
      <c r="D47" s="178">
        <f t="shared" si="4"/>
        <v>5784</v>
      </c>
      <c r="E47" s="183">
        <v>14</v>
      </c>
      <c r="F47" s="178">
        <f t="shared" si="5"/>
        <v>5770</v>
      </c>
      <c r="G47" s="183">
        <v>5770</v>
      </c>
      <c r="H47" s="178">
        <f t="shared" si="6"/>
        <v>0</v>
      </c>
      <c r="I47" s="178"/>
      <c r="J47" s="178"/>
    </row>
    <row r="48" spans="1:10">
      <c r="A48" s="177">
        <v>45728</v>
      </c>
      <c r="B48" s="178">
        <f t="shared" si="7"/>
        <v>5770</v>
      </c>
      <c r="C48" s="178">
        <v>0</v>
      </c>
      <c r="D48" s="178">
        <f t="shared" si="4"/>
        <v>5770</v>
      </c>
      <c r="E48" s="178">
        <f>Harian!F509</f>
        <v>54</v>
      </c>
      <c r="F48" s="178">
        <f t="shared" si="5"/>
        <v>5716</v>
      </c>
      <c r="G48" s="178">
        <v>5716</v>
      </c>
      <c r="H48" s="178">
        <f t="shared" si="6"/>
        <v>0</v>
      </c>
      <c r="I48" s="178"/>
      <c r="J48" s="178"/>
    </row>
    <row r="49" spans="1:10">
      <c r="A49" s="177">
        <v>45729</v>
      </c>
      <c r="B49" s="178">
        <f t="shared" si="7"/>
        <v>5716</v>
      </c>
      <c r="C49" s="178">
        <v>0</v>
      </c>
      <c r="D49" s="178">
        <f t="shared" si="4"/>
        <v>5716</v>
      </c>
      <c r="E49" s="178">
        <f>Harian!F554</f>
        <v>135</v>
      </c>
      <c r="F49" s="178">
        <f t="shared" si="5"/>
        <v>5581</v>
      </c>
      <c r="G49" s="178">
        <v>5581</v>
      </c>
      <c r="H49" s="178">
        <f t="shared" si="6"/>
        <v>0</v>
      </c>
      <c r="I49" s="178"/>
      <c r="J49" s="178"/>
    </row>
    <row r="50" spans="1:10">
      <c r="A50" s="177">
        <v>45730</v>
      </c>
      <c r="B50" s="178">
        <f t="shared" si="7"/>
        <v>5581</v>
      </c>
      <c r="C50" s="178">
        <v>0</v>
      </c>
      <c r="D50" s="178">
        <f t="shared" si="4"/>
        <v>5581</v>
      </c>
      <c r="E50" s="178">
        <f>Harian!F599</f>
        <v>18</v>
      </c>
      <c r="F50" s="178">
        <f t="shared" si="5"/>
        <v>5563</v>
      </c>
      <c r="G50" s="178">
        <v>5564</v>
      </c>
      <c r="H50" s="178">
        <f t="shared" si="6"/>
        <v>1</v>
      </c>
      <c r="I50" s="178"/>
      <c r="J50" s="178"/>
    </row>
    <row r="51" spans="1:10">
      <c r="A51" s="177">
        <v>45731</v>
      </c>
      <c r="B51" s="178">
        <f t="shared" si="7"/>
        <v>5564</v>
      </c>
      <c r="C51" s="178">
        <v>0</v>
      </c>
      <c r="D51" s="178">
        <f t="shared" si="4"/>
        <v>5564</v>
      </c>
      <c r="E51" s="178">
        <f>Harian!F644</f>
        <v>76</v>
      </c>
      <c r="F51" s="178">
        <f t="shared" si="5"/>
        <v>5488</v>
      </c>
      <c r="G51" s="178">
        <v>5489</v>
      </c>
      <c r="H51" s="178">
        <f t="shared" si="6"/>
        <v>1</v>
      </c>
      <c r="I51" s="178"/>
      <c r="J51" s="178"/>
    </row>
    <row r="52" spans="1:10">
      <c r="A52" s="177">
        <v>45732</v>
      </c>
      <c r="B52" s="178">
        <f t="shared" si="7"/>
        <v>5489</v>
      </c>
      <c r="C52" s="178">
        <v>0</v>
      </c>
      <c r="D52" s="178">
        <f t="shared" si="4"/>
        <v>5489</v>
      </c>
      <c r="E52" s="178">
        <v>10</v>
      </c>
      <c r="F52" s="178">
        <f t="shared" si="5"/>
        <v>5479</v>
      </c>
      <c r="G52" s="178">
        <v>5479</v>
      </c>
      <c r="H52" s="178">
        <f t="shared" si="6"/>
        <v>0</v>
      </c>
      <c r="I52" s="178"/>
      <c r="J52" s="178"/>
    </row>
    <row r="53" spans="1:10">
      <c r="A53" s="177">
        <v>45733</v>
      </c>
      <c r="B53" s="178">
        <f t="shared" si="7"/>
        <v>5479</v>
      </c>
      <c r="C53" s="178">
        <v>0</v>
      </c>
      <c r="D53" s="178">
        <f t="shared" si="4"/>
        <v>5479</v>
      </c>
      <c r="E53" s="183">
        <v>25</v>
      </c>
      <c r="F53" s="160">
        <f t="shared" si="5"/>
        <v>5454</v>
      </c>
      <c r="G53" s="183">
        <v>5456</v>
      </c>
      <c r="H53" s="178">
        <f t="shared" si="6"/>
        <v>2</v>
      </c>
      <c r="I53" s="178"/>
      <c r="J53" s="178"/>
    </row>
    <row r="54" spans="1:10">
      <c r="A54" s="177">
        <v>45734</v>
      </c>
      <c r="B54" s="178">
        <f t="shared" si="7"/>
        <v>5456</v>
      </c>
      <c r="C54" s="178">
        <v>0</v>
      </c>
      <c r="D54" s="178">
        <f t="shared" si="4"/>
        <v>5456</v>
      </c>
      <c r="E54" s="178">
        <v>34</v>
      </c>
      <c r="F54" s="178">
        <f t="shared" si="5"/>
        <v>5422</v>
      </c>
      <c r="G54" s="178">
        <v>5422</v>
      </c>
      <c r="H54" s="178">
        <f t="shared" si="6"/>
        <v>0</v>
      </c>
      <c r="I54" s="178"/>
      <c r="J54" s="178"/>
    </row>
    <row r="55" spans="1:10">
      <c r="A55" s="177">
        <v>45735</v>
      </c>
      <c r="B55" s="178">
        <f t="shared" si="7"/>
        <v>5422</v>
      </c>
      <c r="C55" s="178">
        <v>0</v>
      </c>
      <c r="D55" s="178">
        <f t="shared" si="4"/>
        <v>5422</v>
      </c>
      <c r="E55" s="178">
        <f>Harian!F824</f>
        <v>4</v>
      </c>
      <c r="F55" s="178">
        <f t="shared" si="5"/>
        <v>5418</v>
      </c>
      <c r="G55" s="178">
        <v>5419</v>
      </c>
      <c r="H55" s="178">
        <f t="shared" si="6"/>
        <v>1</v>
      </c>
      <c r="I55" s="178"/>
      <c r="J55" s="178"/>
    </row>
    <row r="56" spans="1:10">
      <c r="A56" s="177">
        <v>45736</v>
      </c>
      <c r="B56" s="178">
        <f t="shared" si="7"/>
        <v>5419</v>
      </c>
      <c r="C56" s="178">
        <v>0</v>
      </c>
      <c r="D56" s="178">
        <f t="shared" si="4"/>
        <v>5419</v>
      </c>
      <c r="E56" s="178">
        <v>0</v>
      </c>
      <c r="F56" s="178">
        <f t="shared" si="5"/>
        <v>5419</v>
      </c>
      <c r="G56" s="178">
        <v>5418</v>
      </c>
      <c r="H56" s="178">
        <f t="shared" si="6"/>
        <v>-1</v>
      </c>
      <c r="I56" s="178"/>
      <c r="J56" s="178"/>
    </row>
    <row r="57" spans="1:10">
      <c r="A57" s="177">
        <v>45737</v>
      </c>
      <c r="B57" s="178">
        <f t="shared" si="7"/>
        <v>5418</v>
      </c>
      <c r="C57" s="178">
        <v>0</v>
      </c>
      <c r="D57" s="178">
        <f t="shared" si="4"/>
        <v>5418</v>
      </c>
      <c r="E57" s="178">
        <v>14</v>
      </c>
      <c r="F57" s="178">
        <f t="shared" si="5"/>
        <v>5404</v>
      </c>
      <c r="G57" s="178">
        <v>5405</v>
      </c>
      <c r="H57" s="178">
        <f t="shared" si="6"/>
        <v>1</v>
      </c>
      <c r="I57" s="178"/>
      <c r="J57" s="178"/>
    </row>
    <row r="58" spans="1:10">
      <c r="A58" s="177">
        <v>45738</v>
      </c>
      <c r="B58" s="178">
        <f t="shared" si="7"/>
        <v>5405</v>
      </c>
      <c r="C58" s="178">
        <v>0</v>
      </c>
      <c r="D58" s="178">
        <f t="shared" si="4"/>
        <v>5405</v>
      </c>
      <c r="E58" s="178">
        <v>66</v>
      </c>
      <c r="F58" s="178">
        <f t="shared" si="5"/>
        <v>5339</v>
      </c>
      <c r="G58" s="178">
        <v>5340</v>
      </c>
      <c r="H58" s="178">
        <f t="shared" si="6"/>
        <v>1</v>
      </c>
      <c r="I58" s="178"/>
      <c r="J58" s="178"/>
    </row>
    <row r="59" spans="1:10">
      <c r="A59" s="177">
        <v>45739</v>
      </c>
      <c r="B59" s="178">
        <f t="shared" si="7"/>
        <v>5340</v>
      </c>
      <c r="C59" s="178">
        <v>0</v>
      </c>
      <c r="D59" s="178">
        <f t="shared" si="4"/>
        <v>5340</v>
      </c>
      <c r="E59" s="183">
        <v>38</v>
      </c>
      <c r="F59" s="178">
        <f t="shared" si="5"/>
        <v>5302</v>
      </c>
      <c r="G59" s="183">
        <v>5302</v>
      </c>
      <c r="H59" s="178">
        <f t="shared" si="6"/>
        <v>0</v>
      </c>
      <c r="I59" s="178"/>
      <c r="J59" s="178"/>
    </row>
    <row r="60" spans="1:10">
      <c r="A60" s="177">
        <v>45740</v>
      </c>
      <c r="B60" s="178">
        <f t="shared" si="7"/>
        <v>5302</v>
      </c>
      <c r="C60" s="178">
        <v>0</v>
      </c>
      <c r="D60" s="178">
        <f t="shared" si="4"/>
        <v>5302</v>
      </c>
      <c r="E60" s="178">
        <v>60</v>
      </c>
      <c r="F60" s="178">
        <f t="shared" si="5"/>
        <v>5242</v>
      </c>
      <c r="G60" s="178">
        <v>5246</v>
      </c>
      <c r="H60" s="178">
        <f t="shared" si="6"/>
        <v>4</v>
      </c>
      <c r="I60" s="178"/>
      <c r="J60" s="178"/>
    </row>
    <row r="61" spans="1:10">
      <c r="A61" s="177">
        <v>45741</v>
      </c>
      <c r="B61" s="178">
        <f t="shared" si="7"/>
        <v>5246</v>
      </c>
      <c r="C61" s="178">
        <v>0</v>
      </c>
      <c r="D61" s="178">
        <f t="shared" si="4"/>
        <v>5246</v>
      </c>
      <c r="E61" s="183">
        <v>11</v>
      </c>
      <c r="F61" s="178">
        <f t="shared" si="5"/>
        <v>5235</v>
      </c>
      <c r="G61" s="183">
        <v>5234</v>
      </c>
      <c r="H61" s="178">
        <f t="shared" si="6"/>
        <v>-1</v>
      </c>
      <c r="I61" s="178"/>
      <c r="J61" s="178"/>
    </row>
    <row r="62" spans="1:10">
      <c r="A62" s="177">
        <v>45742</v>
      </c>
      <c r="B62" s="178">
        <f t="shared" si="7"/>
        <v>5234</v>
      </c>
      <c r="C62" s="178">
        <v>0</v>
      </c>
      <c r="D62" s="178">
        <f t="shared" si="4"/>
        <v>5234</v>
      </c>
      <c r="E62" s="178">
        <f>Harian!F1139</f>
        <v>101</v>
      </c>
      <c r="F62" s="178">
        <f t="shared" si="5"/>
        <v>5133</v>
      </c>
      <c r="G62" s="178">
        <v>5136</v>
      </c>
      <c r="H62" s="178">
        <f t="shared" si="6"/>
        <v>3</v>
      </c>
      <c r="I62" s="178"/>
      <c r="J62" s="178"/>
    </row>
    <row r="63" spans="1:10">
      <c r="A63" s="177">
        <v>45743</v>
      </c>
      <c r="B63" s="178">
        <f t="shared" si="7"/>
        <v>5136</v>
      </c>
      <c r="C63" s="178"/>
      <c r="D63" s="178">
        <f t="shared" si="4"/>
        <v>5136</v>
      </c>
      <c r="E63" s="178">
        <v>9</v>
      </c>
      <c r="F63" s="178">
        <f t="shared" si="5"/>
        <v>5127</v>
      </c>
      <c r="G63" s="178">
        <v>5127</v>
      </c>
      <c r="H63" s="178">
        <f t="shared" si="6"/>
        <v>0</v>
      </c>
      <c r="I63" s="178"/>
      <c r="J63" s="178"/>
    </row>
    <row r="64" spans="1:10">
      <c r="A64" s="177">
        <v>45744</v>
      </c>
      <c r="B64" s="178">
        <f t="shared" si="7"/>
        <v>5127</v>
      </c>
      <c r="C64" s="178"/>
      <c r="D64" s="178">
        <f t="shared" si="4"/>
        <v>5127</v>
      </c>
      <c r="E64" s="178"/>
      <c r="F64" s="178">
        <f t="shared" si="5"/>
        <v>5127</v>
      </c>
      <c r="G64" s="178"/>
      <c r="H64" s="178">
        <f t="shared" si="6"/>
        <v>-5127</v>
      </c>
      <c r="I64" s="178"/>
      <c r="J64" s="178"/>
    </row>
    <row r="65" spans="1:10">
      <c r="A65" s="177">
        <v>45745</v>
      </c>
      <c r="B65" s="178">
        <f t="shared" si="7"/>
        <v>0</v>
      </c>
      <c r="C65" s="178"/>
      <c r="D65" s="178">
        <f t="shared" si="4"/>
        <v>0</v>
      </c>
      <c r="E65" s="178"/>
      <c r="F65" s="178">
        <f t="shared" si="5"/>
        <v>0</v>
      </c>
      <c r="G65" s="178"/>
      <c r="H65" s="178">
        <f t="shared" si="6"/>
        <v>0</v>
      </c>
      <c r="I65" s="178"/>
      <c r="J65" s="178"/>
    </row>
    <row r="66" spans="1:10">
      <c r="A66" s="177">
        <v>45746</v>
      </c>
      <c r="B66" s="178">
        <f t="shared" si="7"/>
        <v>0</v>
      </c>
      <c r="C66" s="178"/>
      <c r="D66" s="178">
        <f t="shared" si="4"/>
        <v>0</v>
      </c>
      <c r="E66" s="178"/>
      <c r="F66" s="178">
        <f t="shared" si="5"/>
        <v>0</v>
      </c>
      <c r="G66" s="178"/>
      <c r="H66" s="178">
        <f t="shared" si="6"/>
        <v>0</v>
      </c>
      <c r="I66" s="178"/>
      <c r="J66" s="178"/>
    </row>
    <row r="67" spans="1:10">
      <c r="A67" s="177">
        <v>45747</v>
      </c>
      <c r="B67" s="178">
        <f t="shared" si="7"/>
        <v>0</v>
      </c>
      <c r="C67" s="178"/>
      <c r="D67" s="178">
        <f t="shared" si="4"/>
        <v>0</v>
      </c>
      <c r="E67" s="178"/>
      <c r="F67" s="178">
        <f t="shared" si="5"/>
        <v>0</v>
      </c>
      <c r="G67" s="178"/>
      <c r="H67" s="178">
        <f t="shared" si="6"/>
        <v>0</v>
      </c>
      <c r="I67" s="178"/>
      <c r="J67" s="178"/>
    </row>
    <row r="68" spans="1:10">
      <c r="E68">
        <f>SUM(E37:E67)</f>
        <v>1044</v>
      </c>
    </row>
  </sheetData>
  <pageMargins left="0.7" right="0.7" top="0.75" bottom="0.75" header="0.3" footer="0.3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2"/>
  <sheetViews>
    <sheetView view="pageLayout" zoomScaleNormal="100" topLeftCell="A88" workbookViewId="0">
      <selection activeCell="G120" sqref="G120"/>
    </sheetView>
  </sheetViews>
  <sheetFormatPr defaultColWidth="9" defaultRowHeight="15"/>
  <cols>
    <col min="1" max="1" width="16.8666666666667" customWidth="1"/>
    <col min="2" max="2" width="17.2761904761905" customWidth="1"/>
    <col min="3" max="3" width="15.2666666666667" customWidth="1"/>
    <col min="4" max="4" width="17" customWidth="1"/>
    <col min="5" max="5" width="18.6095238095238" customWidth="1"/>
    <col min="6" max="6" width="17.4095238095238" customWidth="1"/>
    <col min="7" max="7" width="14.7238095238095" customWidth="1"/>
    <col min="8" max="8" width="17.2761904761905" customWidth="1"/>
    <col min="9" max="9" width="17.5428571428571" customWidth="1"/>
    <col min="10" max="10" width="22.4952380952381" customWidth="1"/>
  </cols>
  <sheetData>
    <row r="1" spans="1:10">
      <c r="A1" s="8"/>
      <c r="B1" s="8"/>
      <c r="C1" s="159" t="s">
        <v>71</v>
      </c>
      <c r="D1" s="8"/>
      <c r="E1" s="8"/>
      <c r="F1" s="160"/>
      <c r="G1" s="160"/>
      <c r="H1" s="161" t="s">
        <v>72</v>
      </c>
      <c r="I1" s="160"/>
      <c r="J1" s="160"/>
    </row>
    <row r="2" spans="1:10">
      <c r="A2" s="162" t="s">
        <v>62</v>
      </c>
      <c r="B2" s="163" t="s">
        <v>73</v>
      </c>
      <c r="C2" s="163" t="s">
        <v>74</v>
      </c>
      <c r="D2" s="163" t="s">
        <v>75</v>
      </c>
      <c r="E2" s="163" t="s">
        <v>76</v>
      </c>
      <c r="F2" s="164" t="s">
        <v>62</v>
      </c>
      <c r="G2" s="163" t="s">
        <v>73</v>
      </c>
      <c r="H2" s="163" t="s">
        <v>74</v>
      </c>
      <c r="I2" s="163" t="s">
        <v>75</v>
      </c>
      <c r="J2" s="163" t="s">
        <v>76</v>
      </c>
    </row>
    <row r="3" spans="1:10">
      <c r="A3" s="165">
        <v>46082</v>
      </c>
      <c r="B3" s="112" t="s">
        <v>77</v>
      </c>
      <c r="C3" s="166">
        <v>3905000</v>
      </c>
      <c r="D3" s="166"/>
      <c r="E3" s="166">
        <f>C3-D3</f>
        <v>3905000</v>
      </c>
      <c r="F3" s="167">
        <v>46082</v>
      </c>
      <c r="G3" s="112" t="s">
        <v>77</v>
      </c>
      <c r="H3" s="166">
        <v>14305000</v>
      </c>
      <c r="I3" s="166"/>
      <c r="J3" s="166">
        <f>H3-I3</f>
        <v>14305000</v>
      </c>
    </row>
    <row r="4" spans="1:10">
      <c r="A4" s="168"/>
      <c r="B4" s="112" t="s">
        <v>23</v>
      </c>
      <c r="C4" s="166">
        <v>11125000</v>
      </c>
      <c r="D4" s="166"/>
      <c r="E4" s="166">
        <f t="shared" ref="E4:E17" si="0">E3+C4-D4</f>
        <v>15030000</v>
      </c>
      <c r="F4" s="112"/>
      <c r="G4" s="112" t="s">
        <v>23</v>
      </c>
      <c r="H4" s="166">
        <f>C4</f>
        <v>11125000</v>
      </c>
      <c r="I4" s="166"/>
      <c r="J4" s="166">
        <f>J3+H4-I4</f>
        <v>25430000</v>
      </c>
    </row>
    <row r="5" spans="1:10">
      <c r="A5" s="168"/>
      <c r="B5" s="169" t="s">
        <v>78</v>
      </c>
      <c r="C5" s="166"/>
      <c r="D5" s="166">
        <v>107000</v>
      </c>
      <c r="E5" s="166">
        <f t="shared" si="0"/>
        <v>14923000</v>
      </c>
      <c r="F5" s="112"/>
      <c r="G5" s="169" t="s">
        <v>78</v>
      </c>
      <c r="H5" s="166"/>
      <c r="I5" s="166">
        <f>D5</f>
        <v>107000</v>
      </c>
      <c r="J5" s="166">
        <f t="shared" ref="J5:J50" si="1">J4+H5-I5</f>
        <v>25323000</v>
      </c>
    </row>
    <row r="6" spans="1:10">
      <c r="A6" s="168"/>
      <c r="B6" s="169" t="s">
        <v>74</v>
      </c>
      <c r="C6" s="166"/>
      <c r="D6" s="166">
        <v>300000</v>
      </c>
      <c r="E6" s="166">
        <f t="shared" si="0"/>
        <v>14623000</v>
      </c>
      <c r="F6" s="112"/>
      <c r="G6" s="169" t="s">
        <v>74</v>
      </c>
      <c r="H6" s="166"/>
      <c r="I6" s="166">
        <f>D6</f>
        <v>300000</v>
      </c>
      <c r="J6" s="166">
        <f t="shared" si="1"/>
        <v>25023000</v>
      </c>
    </row>
    <row r="7" spans="1:10">
      <c r="A7" s="168"/>
      <c r="B7" s="170" t="s">
        <v>79</v>
      </c>
      <c r="C7" s="166"/>
      <c r="D7" s="166">
        <v>10000000</v>
      </c>
      <c r="E7" s="166">
        <f t="shared" si="0"/>
        <v>4623000</v>
      </c>
      <c r="F7" s="171">
        <v>46083</v>
      </c>
      <c r="G7" s="112" t="s">
        <v>23</v>
      </c>
      <c r="H7" s="166">
        <v>13298000</v>
      </c>
      <c r="I7" s="166"/>
      <c r="J7" s="166">
        <f t="shared" si="1"/>
        <v>38321000</v>
      </c>
    </row>
    <row r="8" spans="1:10">
      <c r="A8" s="168">
        <v>46083</v>
      </c>
      <c r="B8" s="112" t="s">
        <v>23</v>
      </c>
      <c r="C8" s="166">
        <v>13298000</v>
      </c>
      <c r="D8" s="166"/>
      <c r="E8" s="166">
        <f t="shared" si="0"/>
        <v>17921000</v>
      </c>
      <c r="F8" s="112"/>
      <c r="G8" s="169" t="s">
        <v>78</v>
      </c>
      <c r="H8" s="166"/>
      <c r="I8" s="166">
        <v>343000</v>
      </c>
      <c r="J8" s="166">
        <f t="shared" si="1"/>
        <v>37978000</v>
      </c>
    </row>
    <row r="9" spans="1:10">
      <c r="A9" s="168"/>
      <c r="B9" s="169" t="s">
        <v>78</v>
      </c>
      <c r="C9" s="166"/>
      <c r="D9" s="166">
        <v>343000</v>
      </c>
      <c r="E9" s="166">
        <f t="shared" si="0"/>
        <v>17578000</v>
      </c>
      <c r="F9" s="112"/>
      <c r="G9" s="169" t="s">
        <v>74</v>
      </c>
      <c r="H9" s="166"/>
      <c r="I9" s="166">
        <v>200000</v>
      </c>
      <c r="J9" s="166">
        <f t="shared" si="1"/>
        <v>37778000</v>
      </c>
    </row>
    <row r="10" spans="1:10">
      <c r="A10" s="168"/>
      <c r="B10" s="169" t="s">
        <v>74</v>
      </c>
      <c r="C10" s="166"/>
      <c r="D10" s="166">
        <v>200000</v>
      </c>
      <c r="E10" s="166">
        <f t="shared" si="0"/>
        <v>17378000</v>
      </c>
      <c r="F10" s="112"/>
      <c r="G10" s="169" t="s">
        <v>80</v>
      </c>
      <c r="H10" s="166"/>
      <c r="I10" s="166">
        <v>30000</v>
      </c>
      <c r="J10" s="166">
        <f t="shared" si="1"/>
        <v>37748000</v>
      </c>
    </row>
    <row r="11" spans="1:10">
      <c r="A11" s="168"/>
      <c r="B11" s="169" t="s">
        <v>80</v>
      </c>
      <c r="C11" s="166"/>
      <c r="D11" s="166">
        <v>30000</v>
      </c>
      <c r="E11" s="166">
        <f t="shared" si="0"/>
        <v>17348000</v>
      </c>
      <c r="F11" s="171">
        <v>46056</v>
      </c>
      <c r="G11" s="112" t="s">
        <v>23</v>
      </c>
      <c r="H11" s="166">
        <v>12369300</v>
      </c>
      <c r="I11" s="166"/>
      <c r="J11" s="166">
        <f t="shared" si="1"/>
        <v>50117300</v>
      </c>
    </row>
    <row r="12" spans="1:10">
      <c r="A12" s="168"/>
      <c r="B12" s="169" t="s">
        <v>79</v>
      </c>
      <c r="C12" s="166"/>
      <c r="D12" s="166">
        <v>14000000</v>
      </c>
      <c r="E12" s="166">
        <f t="shared" si="0"/>
        <v>3348000</v>
      </c>
      <c r="F12" s="112"/>
      <c r="G12" s="169" t="s">
        <v>78</v>
      </c>
      <c r="H12" s="166"/>
      <c r="I12" s="166">
        <v>101000</v>
      </c>
      <c r="J12" s="166">
        <f t="shared" si="1"/>
        <v>50016300</v>
      </c>
    </row>
    <row r="13" spans="1:10">
      <c r="A13" s="168">
        <v>46084</v>
      </c>
      <c r="B13" s="112" t="s">
        <v>23</v>
      </c>
      <c r="C13" s="166">
        <v>12369300</v>
      </c>
      <c r="D13" s="166"/>
      <c r="E13" s="166">
        <f t="shared" si="0"/>
        <v>15717300</v>
      </c>
      <c r="F13" s="112"/>
      <c r="G13" s="169" t="s">
        <v>74</v>
      </c>
      <c r="H13" s="166"/>
      <c r="I13" s="166">
        <v>50000</v>
      </c>
      <c r="J13" s="166">
        <f t="shared" si="1"/>
        <v>49966300</v>
      </c>
    </row>
    <row r="14" spans="1:10">
      <c r="A14" s="168"/>
      <c r="B14" s="169" t="s">
        <v>78</v>
      </c>
      <c r="C14" s="166"/>
      <c r="D14" s="166">
        <v>101000</v>
      </c>
      <c r="E14" s="166">
        <f t="shared" si="0"/>
        <v>15616300</v>
      </c>
      <c r="F14" s="112"/>
      <c r="G14" s="169" t="s">
        <v>81</v>
      </c>
      <c r="H14" s="166"/>
      <c r="I14" s="166">
        <v>10000</v>
      </c>
      <c r="J14" s="166">
        <f t="shared" si="1"/>
        <v>49956300</v>
      </c>
    </row>
    <row r="15" spans="1:10">
      <c r="A15" s="168"/>
      <c r="B15" s="169" t="s">
        <v>74</v>
      </c>
      <c r="C15" s="166"/>
      <c r="D15" s="166">
        <v>50000</v>
      </c>
      <c r="E15" s="166">
        <f t="shared" si="0"/>
        <v>15566300</v>
      </c>
      <c r="F15" s="171">
        <v>46085</v>
      </c>
      <c r="G15" s="169" t="s">
        <v>82</v>
      </c>
      <c r="H15" s="166"/>
      <c r="I15" s="166">
        <v>50000</v>
      </c>
      <c r="J15" s="166">
        <f t="shared" si="1"/>
        <v>49906300</v>
      </c>
    </row>
    <row r="16" spans="1:10">
      <c r="A16" s="168"/>
      <c r="B16" s="169" t="s">
        <v>81</v>
      </c>
      <c r="C16" s="166"/>
      <c r="D16" s="166">
        <v>10000</v>
      </c>
      <c r="E16" s="166">
        <f t="shared" si="0"/>
        <v>15556300</v>
      </c>
      <c r="F16" s="112"/>
      <c r="G16" s="112" t="s">
        <v>23</v>
      </c>
      <c r="H16" s="166">
        <v>11940300</v>
      </c>
      <c r="I16" s="166"/>
      <c r="J16" s="166">
        <f t="shared" si="1"/>
        <v>61846600</v>
      </c>
    </row>
    <row r="17" spans="1:10">
      <c r="A17" s="168"/>
      <c r="B17" s="169" t="s">
        <v>79</v>
      </c>
      <c r="C17" s="166"/>
      <c r="D17" s="166">
        <v>12000000</v>
      </c>
      <c r="E17" s="166">
        <f t="shared" si="0"/>
        <v>3556300</v>
      </c>
      <c r="F17" s="112"/>
      <c r="G17" s="169" t="s">
        <v>78</v>
      </c>
      <c r="H17" s="166"/>
      <c r="I17" s="166">
        <v>213000</v>
      </c>
      <c r="J17" s="166">
        <f t="shared" si="1"/>
        <v>61633600</v>
      </c>
    </row>
    <row r="18" spans="1:10">
      <c r="A18" s="168">
        <v>46085</v>
      </c>
      <c r="B18" s="169" t="s">
        <v>82</v>
      </c>
      <c r="C18" s="166"/>
      <c r="D18" s="166">
        <v>50000</v>
      </c>
      <c r="E18" s="166">
        <f t="shared" ref="E18:E52" si="2">E17+C18-D18</f>
        <v>3506300</v>
      </c>
      <c r="F18" s="172">
        <v>46086</v>
      </c>
      <c r="G18" s="112" t="s">
        <v>23</v>
      </c>
      <c r="H18" s="166">
        <f>C22</f>
        <v>13532900</v>
      </c>
      <c r="I18" s="112"/>
      <c r="J18" s="166">
        <f t="shared" si="1"/>
        <v>75166500</v>
      </c>
    </row>
    <row r="19" spans="1:10">
      <c r="A19" s="168"/>
      <c r="B19" s="112" t="s">
        <v>23</v>
      </c>
      <c r="C19" s="166">
        <v>11940300</v>
      </c>
      <c r="D19" s="166"/>
      <c r="E19" s="166">
        <f t="shared" si="2"/>
        <v>15446600</v>
      </c>
      <c r="F19" s="112"/>
      <c r="G19" s="169" t="s">
        <v>78</v>
      </c>
      <c r="H19" s="166"/>
      <c r="I19" s="166">
        <v>105000</v>
      </c>
      <c r="J19" s="166">
        <f t="shared" si="1"/>
        <v>75061500</v>
      </c>
    </row>
    <row r="20" spans="1:10">
      <c r="A20" s="168"/>
      <c r="B20" s="169" t="s">
        <v>78</v>
      </c>
      <c r="C20" s="166"/>
      <c r="D20" s="166">
        <v>213000</v>
      </c>
      <c r="E20" s="166">
        <f t="shared" si="2"/>
        <v>15233600</v>
      </c>
      <c r="F20" s="172">
        <v>46087</v>
      </c>
      <c r="G20" s="112" t="s">
        <v>23</v>
      </c>
      <c r="H20" s="166">
        <f>C25</f>
        <v>12185000</v>
      </c>
      <c r="I20" s="166"/>
      <c r="J20" s="166">
        <f t="shared" si="1"/>
        <v>87246500</v>
      </c>
    </row>
    <row r="21" spans="1:10">
      <c r="A21" s="168"/>
      <c r="B21" s="169" t="s">
        <v>79</v>
      </c>
      <c r="C21" s="166"/>
      <c r="D21" s="166">
        <v>12000000</v>
      </c>
      <c r="E21" s="166">
        <f t="shared" si="2"/>
        <v>3233600</v>
      </c>
      <c r="F21" s="112"/>
      <c r="G21" s="169" t="s">
        <v>78</v>
      </c>
      <c r="H21" s="166"/>
      <c r="I21" s="166">
        <v>179000</v>
      </c>
      <c r="J21" s="166">
        <f t="shared" si="1"/>
        <v>87067500</v>
      </c>
    </row>
    <row r="22" spans="1:10">
      <c r="A22" s="168">
        <v>46086</v>
      </c>
      <c r="B22" s="112" t="s">
        <v>23</v>
      </c>
      <c r="C22" s="166">
        <v>13532900</v>
      </c>
      <c r="D22" s="166"/>
      <c r="E22" s="166">
        <f t="shared" si="2"/>
        <v>16766500</v>
      </c>
      <c r="F22" s="172">
        <v>46088</v>
      </c>
      <c r="G22" s="169" t="s">
        <v>83</v>
      </c>
      <c r="H22" s="166"/>
      <c r="I22" s="166">
        <v>50000000</v>
      </c>
      <c r="J22" s="166">
        <f t="shared" si="1"/>
        <v>37067500</v>
      </c>
    </row>
    <row r="23" spans="1:10">
      <c r="A23" s="168"/>
      <c r="B23" s="169" t="s">
        <v>78</v>
      </c>
      <c r="C23" s="166"/>
      <c r="D23" s="166">
        <v>105000</v>
      </c>
      <c r="E23" s="166">
        <f t="shared" si="2"/>
        <v>16661500</v>
      </c>
      <c r="F23" s="112"/>
      <c r="G23" s="112" t="s">
        <v>23</v>
      </c>
      <c r="H23" s="166">
        <f>C28</f>
        <v>13312500</v>
      </c>
      <c r="I23" s="166"/>
      <c r="J23" s="166">
        <f t="shared" si="1"/>
        <v>50380000</v>
      </c>
    </row>
    <row r="24" spans="1:10">
      <c r="A24" s="168"/>
      <c r="B24" s="169" t="s">
        <v>79</v>
      </c>
      <c r="C24" s="166"/>
      <c r="D24" s="166">
        <v>13000000</v>
      </c>
      <c r="E24" s="166">
        <f t="shared" si="2"/>
        <v>3661500</v>
      </c>
      <c r="F24" s="112"/>
      <c r="G24" s="169" t="s">
        <v>78</v>
      </c>
      <c r="H24" s="166"/>
      <c r="I24" s="166">
        <v>182294</v>
      </c>
      <c r="J24" s="166">
        <f t="shared" si="1"/>
        <v>50197706</v>
      </c>
    </row>
    <row r="25" spans="1:10">
      <c r="A25" s="168">
        <v>46087</v>
      </c>
      <c r="B25" s="112" t="s">
        <v>23</v>
      </c>
      <c r="C25" s="166">
        <f>Harian!H248</f>
        <v>12185000</v>
      </c>
      <c r="D25" s="166"/>
      <c r="E25" s="166">
        <f t="shared" si="2"/>
        <v>15846500</v>
      </c>
      <c r="F25" s="172">
        <v>46089</v>
      </c>
      <c r="G25" s="112" t="s">
        <v>23</v>
      </c>
      <c r="H25" s="166">
        <f>C31</f>
        <v>12265900</v>
      </c>
      <c r="I25" s="166"/>
      <c r="J25" s="166">
        <f t="shared" si="1"/>
        <v>62463606</v>
      </c>
    </row>
    <row r="26" spans="1:10">
      <c r="A26" s="168"/>
      <c r="B26" s="169" t="s">
        <v>78</v>
      </c>
      <c r="C26" s="166"/>
      <c r="D26" s="166">
        <v>179000</v>
      </c>
      <c r="E26" s="166">
        <f t="shared" si="2"/>
        <v>15667500</v>
      </c>
      <c r="F26" s="112"/>
      <c r="G26" s="169" t="s">
        <v>78</v>
      </c>
      <c r="H26" s="166"/>
      <c r="I26" s="166">
        <f>D32</f>
        <v>161400</v>
      </c>
      <c r="J26" s="166">
        <f t="shared" si="1"/>
        <v>62302206</v>
      </c>
    </row>
    <row r="27" spans="1:10">
      <c r="A27" s="168"/>
      <c r="B27" s="169" t="s">
        <v>79</v>
      </c>
      <c r="C27" s="166"/>
      <c r="D27" s="166">
        <v>11000000</v>
      </c>
      <c r="E27" s="166">
        <f t="shared" si="2"/>
        <v>4667500</v>
      </c>
      <c r="F27" s="112"/>
      <c r="G27" s="169" t="s">
        <v>84</v>
      </c>
      <c r="H27" s="112"/>
      <c r="I27" s="166">
        <v>550000</v>
      </c>
      <c r="J27" s="166">
        <f t="shared" si="1"/>
        <v>61752206</v>
      </c>
    </row>
    <row r="28" spans="1:10">
      <c r="A28" s="168">
        <v>46088</v>
      </c>
      <c r="B28" s="112" t="s">
        <v>23</v>
      </c>
      <c r="C28" s="166">
        <f>Harian!H293</f>
        <v>13312500</v>
      </c>
      <c r="D28" s="166"/>
      <c r="E28" s="166">
        <f t="shared" si="2"/>
        <v>17980000</v>
      </c>
      <c r="F28" s="171">
        <v>46090</v>
      </c>
      <c r="G28" s="112" t="s">
        <v>23</v>
      </c>
      <c r="H28" s="166">
        <v>12162800</v>
      </c>
      <c r="I28" s="166"/>
      <c r="J28" s="166">
        <f t="shared" si="1"/>
        <v>73915006</v>
      </c>
    </row>
    <row r="29" spans="1:10">
      <c r="A29" s="168"/>
      <c r="B29" s="169" t="s">
        <v>78</v>
      </c>
      <c r="C29" s="166"/>
      <c r="D29" s="166">
        <v>182294</v>
      </c>
      <c r="E29" s="166">
        <f t="shared" si="2"/>
        <v>17797706</v>
      </c>
      <c r="F29" s="112"/>
      <c r="G29" s="169" t="s">
        <v>85</v>
      </c>
      <c r="H29" s="166"/>
      <c r="I29" s="166">
        <v>50000</v>
      </c>
      <c r="J29" s="166">
        <f t="shared" si="1"/>
        <v>73865006</v>
      </c>
    </row>
    <row r="30" spans="1:10">
      <c r="A30" s="168"/>
      <c r="B30" s="169" t="s">
        <v>79</v>
      </c>
      <c r="C30" s="166"/>
      <c r="D30" s="166">
        <v>14000000</v>
      </c>
      <c r="E30" s="166">
        <f t="shared" si="2"/>
        <v>3797706</v>
      </c>
      <c r="F30" s="112"/>
      <c r="G30" s="169" t="s">
        <v>78</v>
      </c>
      <c r="H30" s="166"/>
      <c r="I30" s="166">
        <v>575000</v>
      </c>
      <c r="J30" s="166">
        <f t="shared" si="1"/>
        <v>73290006</v>
      </c>
    </row>
    <row r="31" spans="1:10">
      <c r="A31" s="168">
        <v>46089</v>
      </c>
      <c r="B31" s="112" t="s">
        <v>23</v>
      </c>
      <c r="C31" s="166">
        <v>12265900</v>
      </c>
      <c r="D31" s="166"/>
      <c r="E31" s="166">
        <f t="shared" si="2"/>
        <v>16063606</v>
      </c>
      <c r="F31" s="171">
        <v>46091</v>
      </c>
      <c r="G31" s="112" t="s">
        <v>23</v>
      </c>
      <c r="H31" s="166">
        <v>10951400</v>
      </c>
      <c r="I31" s="166"/>
      <c r="J31" s="166">
        <f t="shared" si="1"/>
        <v>84241406</v>
      </c>
    </row>
    <row r="32" spans="1:10">
      <c r="A32" s="168"/>
      <c r="B32" s="169" t="s">
        <v>78</v>
      </c>
      <c r="C32" s="166"/>
      <c r="D32" s="166">
        <v>161400</v>
      </c>
      <c r="E32" s="166">
        <f t="shared" si="2"/>
        <v>15902206</v>
      </c>
      <c r="F32" s="112"/>
      <c r="G32" s="169" t="s">
        <v>81</v>
      </c>
      <c r="H32" s="166"/>
      <c r="I32" s="166">
        <v>50000</v>
      </c>
      <c r="J32" s="166">
        <f t="shared" si="1"/>
        <v>84191406</v>
      </c>
    </row>
    <row r="33" spans="1:10">
      <c r="A33" s="168"/>
      <c r="B33" s="169" t="s">
        <v>79</v>
      </c>
      <c r="C33" s="166"/>
      <c r="D33" s="166">
        <v>10000000</v>
      </c>
      <c r="E33" s="166">
        <f t="shared" si="2"/>
        <v>5902206</v>
      </c>
      <c r="F33" s="112"/>
      <c r="G33" s="169" t="s">
        <v>86</v>
      </c>
      <c r="H33" s="166"/>
      <c r="I33" s="166">
        <v>100000</v>
      </c>
      <c r="J33" s="166">
        <f t="shared" si="1"/>
        <v>84091406</v>
      </c>
    </row>
    <row r="34" spans="1:10">
      <c r="A34" s="168">
        <v>46090</v>
      </c>
      <c r="B34" s="112" t="s">
        <v>23</v>
      </c>
      <c r="C34" s="166">
        <v>12162800</v>
      </c>
      <c r="D34" s="166"/>
      <c r="E34" s="166">
        <f t="shared" si="2"/>
        <v>18065006</v>
      </c>
      <c r="F34" s="112"/>
      <c r="G34" s="169" t="s">
        <v>78</v>
      </c>
      <c r="H34" s="166"/>
      <c r="I34" s="166">
        <v>216000</v>
      </c>
      <c r="J34" s="166">
        <f t="shared" si="1"/>
        <v>83875406</v>
      </c>
    </row>
    <row r="35" spans="1:10">
      <c r="A35" s="168"/>
      <c r="B35" s="169" t="s">
        <v>85</v>
      </c>
      <c r="C35" s="166"/>
      <c r="D35" s="166">
        <v>50000</v>
      </c>
      <c r="E35" s="166">
        <f t="shared" si="2"/>
        <v>18015006</v>
      </c>
      <c r="F35" s="171">
        <v>46092</v>
      </c>
      <c r="G35" s="112" t="s">
        <v>23</v>
      </c>
      <c r="H35" s="166">
        <v>14123200</v>
      </c>
      <c r="I35" s="166"/>
      <c r="J35" s="166">
        <f t="shared" si="1"/>
        <v>97998606</v>
      </c>
    </row>
    <row r="36" spans="1:10">
      <c r="A36" s="168"/>
      <c r="B36" s="169" t="s">
        <v>78</v>
      </c>
      <c r="C36" s="166"/>
      <c r="D36" s="166">
        <v>575000</v>
      </c>
      <c r="E36" s="166">
        <f t="shared" si="2"/>
        <v>17440006</v>
      </c>
      <c r="F36" s="112"/>
      <c r="G36" s="169" t="s">
        <v>78</v>
      </c>
      <c r="H36" s="166"/>
      <c r="I36" s="166">
        <v>475000</v>
      </c>
      <c r="J36" s="166">
        <f t="shared" si="1"/>
        <v>97523606</v>
      </c>
    </row>
    <row r="37" spans="1:10">
      <c r="A37" s="168"/>
      <c r="B37" s="169" t="s">
        <v>79</v>
      </c>
      <c r="C37" s="166"/>
      <c r="D37" s="166">
        <v>13000000</v>
      </c>
      <c r="E37" s="166">
        <f t="shared" si="2"/>
        <v>4440006</v>
      </c>
      <c r="F37" s="172">
        <v>46093</v>
      </c>
      <c r="G37" s="112" t="s">
        <v>23</v>
      </c>
      <c r="H37" s="166">
        <f>C46</f>
        <v>12470600</v>
      </c>
      <c r="I37" s="166"/>
      <c r="J37" s="166">
        <f t="shared" si="1"/>
        <v>109994206</v>
      </c>
    </row>
    <row r="38" spans="1:10">
      <c r="A38" s="168">
        <v>46091</v>
      </c>
      <c r="B38" s="112" t="s">
        <v>23</v>
      </c>
      <c r="C38" s="166">
        <v>10951400</v>
      </c>
      <c r="D38" s="166"/>
      <c r="E38" s="166">
        <f t="shared" si="2"/>
        <v>15391406</v>
      </c>
      <c r="F38" s="112"/>
      <c r="G38" s="169" t="s">
        <v>78</v>
      </c>
      <c r="H38" s="166"/>
      <c r="I38" s="166">
        <f>D47</f>
        <v>300000</v>
      </c>
      <c r="J38" s="166">
        <f t="shared" ref="J38:J81" si="3">J37+H38-I38</f>
        <v>109694206</v>
      </c>
    </row>
    <row r="39" spans="1:10">
      <c r="A39" s="168"/>
      <c r="B39" s="169" t="s">
        <v>81</v>
      </c>
      <c r="C39" s="166"/>
      <c r="D39" s="166">
        <v>50000</v>
      </c>
      <c r="E39" s="166">
        <f t="shared" si="2"/>
        <v>15341406</v>
      </c>
      <c r="F39" s="112"/>
      <c r="G39" s="169" t="s">
        <v>74</v>
      </c>
      <c r="H39" s="166"/>
      <c r="I39" s="166">
        <f>D48</f>
        <v>250000</v>
      </c>
      <c r="J39" s="166">
        <f t="shared" si="3"/>
        <v>109444206</v>
      </c>
    </row>
    <row r="40" spans="1:10">
      <c r="A40" s="168"/>
      <c r="B40" s="169" t="s">
        <v>86</v>
      </c>
      <c r="C40" s="166"/>
      <c r="D40" s="166">
        <v>100000</v>
      </c>
      <c r="E40" s="166">
        <f t="shared" si="2"/>
        <v>15241406</v>
      </c>
      <c r="F40" s="112"/>
      <c r="G40" s="112" t="s">
        <v>83</v>
      </c>
      <c r="H40" s="112"/>
      <c r="I40" s="166">
        <v>82850000</v>
      </c>
      <c r="J40" s="166">
        <f t="shared" si="3"/>
        <v>26594206</v>
      </c>
    </row>
    <row r="41" spans="1:10">
      <c r="A41" s="168"/>
      <c r="B41" s="169" t="s">
        <v>78</v>
      </c>
      <c r="C41" s="166"/>
      <c r="D41" s="166">
        <v>216000</v>
      </c>
      <c r="E41" s="166">
        <f t="shared" si="2"/>
        <v>15025406</v>
      </c>
      <c r="F41" s="172">
        <v>46094</v>
      </c>
      <c r="G41" s="112" t="s">
        <v>23</v>
      </c>
      <c r="H41" s="166">
        <f>C50</f>
        <v>14560100</v>
      </c>
      <c r="I41" s="166"/>
      <c r="J41" s="166">
        <f t="shared" si="3"/>
        <v>41154306</v>
      </c>
    </row>
    <row r="42" spans="1:10">
      <c r="A42" s="168"/>
      <c r="B42" s="169" t="s">
        <v>79</v>
      </c>
      <c r="C42" s="166"/>
      <c r="D42" s="166">
        <v>14000000</v>
      </c>
      <c r="E42" s="166">
        <f t="shared" si="2"/>
        <v>1025406</v>
      </c>
      <c r="F42" s="112"/>
      <c r="G42" s="169" t="s">
        <v>78</v>
      </c>
      <c r="H42" s="166"/>
      <c r="I42" s="166">
        <f>D51</f>
        <v>72000</v>
      </c>
      <c r="J42" s="166">
        <f t="shared" si="3"/>
        <v>41082306</v>
      </c>
    </row>
    <row r="43" spans="1:10">
      <c r="A43" s="168">
        <v>46092</v>
      </c>
      <c r="B43" s="112" t="s">
        <v>23</v>
      </c>
      <c r="C43" s="166">
        <v>14123200</v>
      </c>
      <c r="D43" s="166"/>
      <c r="E43" s="166">
        <f t="shared" si="2"/>
        <v>15148606</v>
      </c>
      <c r="F43" s="172">
        <v>46095</v>
      </c>
      <c r="G43" s="112" t="s">
        <v>23</v>
      </c>
      <c r="H43" s="166">
        <f>C53</f>
        <v>14644800</v>
      </c>
      <c r="I43" s="166"/>
      <c r="J43" s="166">
        <f t="shared" si="3"/>
        <v>55727106</v>
      </c>
    </row>
    <row r="44" spans="1:10">
      <c r="A44" s="168"/>
      <c r="B44" s="169" t="s">
        <v>78</v>
      </c>
      <c r="C44" s="166"/>
      <c r="D44" s="166">
        <v>475000</v>
      </c>
      <c r="E44" s="166">
        <f t="shared" si="2"/>
        <v>14673606</v>
      </c>
      <c r="F44" s="112"/>
      <c r="G44" s="169" t="s">
        <v>78</v>
      </c>
      <c r="H44" s="166"/>
      <c r="I44" s="166">
        <v>662000</v>
      </c>
      <c r="J44" s="166">
        <f t="shared" si="3"/>
        <v>55065106</v>
      </c>
    </row>
    <row r="45" spans="1:10">
      <c r="A45" s="168"/>
      <c r="B45" s="169" t="s">
        <v>79</v>
      </c>
      <c r="C45" s="166"/>
      <c r="D45" s="166">
        <v>13000000</v>
      </c>
      <c r="E45" s="166">
        <f t="shared" si="2"/>
        <v>1673606</v>
      </c>
      <c r="F45" s="112"/>
      <c r="G45" s="112" t="s">
        <v>87</v>
      </c>
      <c r="H45" s="166"/>
      <c r="I45" s="166">
        <v>100000</v>
      </c>
      <c r="J45" s="166">
        <f t="shared" si="3"/>
        <v>54965106</v>
      </c>
    </row>
    <row r="46" spans="1:10">
      <c r="A46" s="168">
        <v>46093</v>
      </c>
      <c r="B46" s="112" t="s">
        <v>23</v>
      </c>
      <c r="C46" s="166">
        <f>Harian!H518</f>
        <v>12470600</v>
      </c>
      <c r="D46" s="166"/>
      <c r="E46" s="166">
        <f t="shared" si="2"/>
        <v>14144206</v>
      </c>
      <c r="F46" s="112"/>
      <c r="G46" s="112" t="s">
        <v>88</v>
      </c>
      <c r="H46" s="166"/>
      <c r="I46" s="166">
        <v>10000</v>
      </c>
      <c r="J46" s="166">
        <f t="shared" si="3"/>
        <v>54955106</v>
      </c>
    </row>
    <row r="47" spans="1:10">
      <c r="A47" s="168"/>
      <c r="B47" s="169" t="s">
        <v>78</v>
      </c>
      <c r="C47" s="166"/>
      <c r="D47" s="166">
        <v>300000</v>
      </c>
      <c r="E47" s="166">
        <f t="shared" si="2"/>
        <v>13844206</v>
      </c>
      <c r="F47" s="112"/>
      <c r="G47" s="112" t="s">
        <v>89</v>
      </c>
      <c r="H47" s="112"/>
      <c r="I47" s="113">
        <v>50000</v>
      </c>
      <c r="J47" s="166">
        <f t="shared" si="3"/>
        <v>54905106</v>
      </c>
    </row>
    <row r="48" spans="1:10">
      <c r="A48" s="168"/>
      <c r="B48" s="169" t="s">
        <v>74</v>
      </c>
      <c r="C48" s="166"/>
      <c r="D48" s="166">
        <v>250000</v>
      </c>
      <c r="E48" s="166">
        <f t="shared" ref="E48:E111" si="4">E47+C48-D48</f>
        <v>13594206</v>
      </c>
      <c r="F48" s="172">
        <v>46096</v>
      </c>
      <c r="G48" s="112" t="s">
        <v>23</v>
      </c>
      <c r="H48" s="166">
        <f>C59</f>
        <v>12594400</v>
      </c>
      <c r="I48" s="166"/>
      <c r="J48" s="166">
        <f t="shared" si="3"/>
        <v>67499506</v>
      </c>
    </row>
    <row r="49" spans="1:10">
      <c r="A49" s="168"/>
      <c r="B49" s="169" t="s">
        <v>79</v>
      </c>
      <c r="C49" s="166"/>
      <c r="D49" s="166">
        <v>11000000</v>
      </c>
      <c r="E49" s="166">
        <f t="shared" si="4"/>
        <v>2594206</v>
      </c>
      <c r="F49" s="112"/>
      <c r="G49" s="169" t="s">
        <v>78</v>
      </c>
      <c r="H49" s="166"/>
      <c r="I49" s="166">
        <v>88200</v>
      </c>
      <c r="J49" s="166">
        <f t="shared" si="3"/>
        <v>67411306</v>
      </c>
    </row>
    <row r="50" spans="1:10">
      <c r="A50" s="168">
        <v>46094</v>
      </c>
      <c r="B50" s="112" t="s">
        <v>23</v>
      </c>
      <c r="C50" s="166">
        <f>Harian!H563</f>
        <v>14560100</v>
      </c>
      <c r="D50" s="166"/>
      <c r="E50" s="166">
        <f t="shared" si="4"/>
        <v>17154306</v>
      </c>
      <c r="F50" s="112"/>
      <c r="G50" s="169" t="s">
        <v>81</v>
      </c>
      <c r="H50" s="166"/>
      <c r="I50" s="166">
        <v>20000</v>
      </c>
      <c r="J50" s="166">
        <f t="shared" si="3"/>
        <v>67391306</v>
      </c>
    </row>
    <row r="51" spans="1:10">
      <c r="A51" s="168"/>
      <c r="B51" s="169" t="s">
        <v>78</v>
      </c>
      <c r="C51" s="166"/>
      <c r="D51" s="166">
        <v>72000</v>
      </c>
      <c r="E51" s="166">
        <f t="shared" si="4"/>
        <v>17082306</v>
      </c>
      <c r="F51" s="112"/>
      <c r="G51" s="169" t="s">
        <v>74</v>
      </c>
      <c r="H51" s="166"/>
      <c r="I51" s="166">
        <v>300000</v>
      </c>
      <c r="J51" s="166">
        <f t="shared" si="3"/>
        <v>67091306</v>
      </c>
    </row>
    <row r="52" spans="1:10">
      <c r="A52" s="168"/>
      <c r="B52" s="169" t="s">
        <v>79</v>
      </c>
      <c r="C52" s="166"/>
      <c r="D52" s="166">
        <v>12000000</v>
      </c>
      <c r="E52" s="166">
        <f t="shared" si="4"/>
        <v>5082306</v>
      </c>
      <c r="F52" s="172">
        <v>46097</v>
      </c>
      <c r="G52" s="112" t="s">
        <v>23</v>
      </c>
      <c r="H52" s="166">
        <v>15053400</v>
      </c>
      <c r="I52" s="166"/>
      <c r="J52" s="166">
        <f t="shared" si="3"/>
        <v>82144706</v>
      </c>
    </row>
    <row r="53" spans="1:10">
      <c r="A53" s="168">
        <v>46095</v>
      </c>
      <c r="B53" s="112" t="s">
        <v>23</v>
      </c>
      <c r="C53" s="166">
        <f>Harian!H608</f>
        <v>14644800</v>
      </c>
      <c r="D53" s="166"/>
      <c r="E53" s="166">
        <f t="shared" si="4"/>
        <v>19727106</v>
      </c>
      <c r="F53" s="112"/>
      <c r="G53" s="169" t="s">
        <v>78</v>
      </c>
      <c r="H53" s="166"/>
      <c r="I53" s="166">
        <v>472026</v>
      </c>
      <c r="J53" s="166">
        <f t="shared" si="3"/>
        <v>81672680</v>
      </c>
    </row>
    <row r="54" spans="1:10">
      <c r="A54" s="168"/>
      <c r="B54" s="169" t="s">
        <v>78</v>
      </c>
      <c r="C54" s="166"/>
      <c r="D54" s="166">
        <v>662000</v>
      </c>
      <c r="E54" s="166">
        <f t="shared" si="4"/>
        <v>19065106</v>
      </c>
      <c r="F54" s="112"/>
      <c r="G54" s="169" t="s">
        <v>74</v>
      </c>
      <c r="H54" s="166"/>
      <c r="I54" s="166">
        <v>30000</v>
      </c>
      <c r="J54" s="166">
        <f t="shared" si="3"/>
        <v>81642680</v>
      </c>
    </row>
    <row r="55" spans="1:10">
      <c r="A55" s="168"/>
      <c r="B55" s="169" t="s">
        <v>79</v>
      </c>
      <c r="C55" s="166"/>
      <c r="D55" s="166">
        <v>17000000</v>
      </c>
      <c r="E55" s="166">
        <f t="shared" si="4"/>
        <v>2065106</v>
      </c>
      <c r="F55" s="112"/>
      <c r="G55" s="169" t="s">
        <v>87</v>
      </c>
      <c r="H55" s="166"/>
      <c r="I55" s="166">
        <v>48800</v>
      </c>
      <c r="J55" s="166">
        <f t="shared" si="3"/>
        <v>81593880</v>
      </c>
    </row>
    <row r="56" spans="1:10">
      <c r="A56" s="168"/>
      <c r="B56" s="112" t="s">
        <v>87</v>
      </c>
      <c r="C56" s="166"/>
      <c r="D56" s="166">
        <v>100000</v>
      </c>
      <c r="E56" s="166">
        <f t="shared" si="4"/>
        <v>1965106</v>
      </c>
      <c r="F56" s="112"/>
      <c r="G56" s="169" t="s">
        <v>90</v>
      </c>
      <c r="H56" s="166"/>
      <c r="I56" s="166">
        <v>22500</v>
      </c>
      <c r="J56" s="166">
        <f t="shared" si="3"/>
        <v>81571380</v>
      </c>
    </row>
    <row r="57" spans="1:10">
      <c r="A57" s="168"/>
      <c r="B57" s="112" t="s">
        <v>88</v>
      </c>
      <c r="C57" s="166"/>
      <c r="D57" s="166">
        <v>10000</v>
      </c>
      <c r="E57" s="166">
        <f t="shared" si="4"/>
        <v>1955106</v>
      </c>
      <c r="F57" s="172">
        <v>46098</v>
      </c>
      <c r="G57" s="169" t="s">
        <v>83</v>
      </c>
      <c r="H57" s="166"/>
      <c r="I57" s="166">
        <v>77000000</v>
      </c>
      <c r="J57" s="166">
        <f t="shared" si="3"/>
        <v>4571380</v>
      </c>
    </row>
    <row r="58" spans="1:10">
      <c r="A58" s="168"/>
      <c r="B58" s="112" t="s">
        <v>85</v>
      </c>
      <c r="C58" s="112"/>
      <c r="D58" s="166">
        <v>50000</v>
      </c>
      <c r="E58" s="166">
        <f t="shared" si="4"/>
        <v>1905106</v>
      </c>
      <c r="F58" s="112"/>
      <c r="G58" s="112" t="s">
        <v>23</v>
      </c>
      <c r="H58" s="166">
        <v>14172900</v>
      </c>
      <c r="I58" s="166"/>
      <c r="J58" s="166">
        <f t="shared" si="3"/>
        <v>18744280</v>
      </c>
    </row>
    <row r="59" spans="1:10">
      <c r="A59" s="168">
        <v>46096</v>
      </c>
      <c r="B59" s="112" t="s">
        <v>23</v>
      </c>
      <c r="C59" s="166">
        <f>Harian!H653</f>
        <v>12594400</v>
      </c>
      <c r="D59" s="166"/>
      <c r="E59" s="166">
        <f t="shared" si="4"/>
        <v>14499506</v>
      </c>
      <c r="F59" s="112"/>
      <c r="G59" s="169" t="s">
        <v>78</v>
      </c>
      <c r="H59" s="166"/>
      <c r="I59" s="166">
        <v>185000</v>
      </c>
      <c r="J59" s="166">
        <f t="shared" si="3"/>
        <v>18559280</v>
      </c>
    </row>
    <row r="60" spans="1:10">
      <c r="A60" s="168"/>
      <c r="B60" s="169" t="s">
        <v>78</v>
      </c>
      <c r="C60" s="166"/>
      <c r="D60" s="166">
        <v>88200</v>
      </c>
      <c r="E60" s="166">
        <f t="shared" si="4"/>
        <v>14411306</v>
      </c>
      <c r="F60" s="112"/>
      <c r="G60" s="169" t="s">
        <v>74</v>
      </c>
      <c r="H60" s="166"/>
      <c r="I60" s="166">
        <v>200000</v>
      </c>
      <c r="J60" s="166">
        <f t="shared" si="3"/>
        <v>18359280</v>
      </c>
    </row>
    <row r="61" spans="1:10">
      <c r="A61" s="168"/>
      <c r="B61" s="169" t="s">
        <v>79</v>
      </c>
      <c r="C61" s="166"/>
      <c r="D61" s="166">
        <v>12000000</v>
      </c>
      <c r="E61" s="166">
        <f t="shared" si="4"/>
        <v>2411306</v>
      </c>
      <c r="F61" s="112"/>
      <c r="G61" s="169" t="s">
        <v>87</v>
      </c>
      <c r="H61" s="166"/>
      <c r="I61" s="166">
        <v>1675858</v>
      </c>
      <c r="J61" s="166">
        <f t="shared" si="3"/>
        <v>16683422</v>
      </c>
    </row>
    <row r="62" spans="1:10">
      <c r="A62" s="168"/>
      <c r="B62" s="169" t="s">
        <v>81</v>
      </c>
      <c r="C62" s="166"/>
      <c r="D62" s="166">
        <v>20000</v>
      </c>
      <c r="E62" s="166">
        <f t="shared" si="4"/>
        <v>2391306</v>
      </c>
      <c r="F62" s="112"/>
      <c r="G62" s="169" t="s">
        <v>81</v>
      </c>
      <c r="H62" s="166"/>
      <c r="I62" s="166">
        <v>10000</v>
      </c>
      <c r="J62" s="166">
        <f t="shared" si="3"/>
        <v>16673422</v>
      </c>
    </row>
    <row r="63" spans="1:10">
      <c r="A63" s="168"/>
      <c r="B63" s="169" t="s">
        <v>74</v>
      </c>
      <c r="C63" s="166"/>
      <c r="D63" s="166">
        <v>300000</v>
      </c>
      <c r="E63" s="166">
        <f t="shared" si="4"/>
        <v>2091306</v>
      </c>
      <c r="F63" s="171">
        <v>46099</v>
      </c>
      <c r="G63" s="112" t="s">
        <v>23</v>
      </c>
      <c r="H63" s="166">
        <v>19708000</v>
      </c>
      <c r="I63" s="166"/>
      <c r="J63" s="166">
        <f t="shared" si="3"/>
        <v>36381422</v>
      </c>
    </row>
    <row r="64" spans="1:10">
      <c r="A64" s="168">
        <v>46097</v>
      </c>
      <c r="B64" s="112" t="s">
        <v>23</v>
      </c>
      <c r="C64" s="166">
        <v>15053400</v>
      </c>
      <c r="D64" s="166"/>
      <c r="E64" s="166">
        <f t="shared" si="4"/>
        <v>17144706</v>
      </c>
      <c r="F64" s="112"/>
      <c r="G64" s="169" t="s">
        <v>78</v>
      </c>
      <c r="H64" s="166"/>
      <c r="I64" s="166">
        <v>400000</v>
      </c>
      <c r="J64" s="166">
        <f t="shared" si="3"/>
        <v>35981422</v>
      </c>
    </row>
    <row r="65" spans="1:10">
      <c r="A65" s="168"/>
      <c r="B65" s="169" t="s">
        <v>78</v>
      </c>
      <c r="C65" s="166"/>
      <c r="D65" s="166">
        <v>472026</v>
      </c>
      <c r="E65" s="166">
        <f t="shared" si="4"/>
        <v>16672680</v>
      </c>
      <c r="F65" s="112"/>
      <c r="G65" s="169" t="s">
        <v>85</v>
      </c>
      <c r="H65" s="166"/>
      <c r="I65" s="166">
        <v>50000</v>
      </c>
      <c r="J65" s="166">
        <f t="shared" si="3"/>
        <v>35931422</v>
      </c>
    </row>
    <row r="66" spans="1:10">
      <c r="A66" s="168"/>
      <c r="B66" s="169" t="s">
        <v>74</v>
      </c>
      <c r="C66" s="166"/>
      <c r="D66" s="166">
        <v>30000</v>
      </c>
      <c r="E66" s="166">
        <f t="shared" si="4"/>
        <v>16642680</v>
      </c>
      <c r="F66" s="112"/>
      <c r="G66" s="169" t="s">
        <v>91</v>
      </c>
      <c r="H66" s="166"/>
      <c r="I66" s="166">
        <v>480000</v>
      </c>
      <c r="J66" s="166">
        <f t="shared" si="3"/>
        <v>35451422</v>
      </c>
    </row>
    <row r="67" spans="1:10">
      <c r="A67" s="168"/>
      <c r="B67" s="169" t="s">
        <v>87</v>
      </c>
      <c r="C67" s="166"/>
      <c r="D67" s="166">
        <v>48800</v>
      </c>
      <c r="E67" s="166">
        <f t="shared" si="4"/>
        <v>16593880</v>
      </c>
      <c r="F67" s="112"/>
      <c r="G67" s="169" t="s">
        <v>92</v>
      </c>
      <c r="H67" s="166"/>
      <c r="I67" s="166">
        <v>6000000</v>
      </c>
      <c r="J67" s="166">
        <f t="shared" si="3"/>
        <v>29451422</v>
      </c>
    </row>
    <row r="68" spans="1:10">
      <c r="A68" s="168"/>
      <c r="B68" s="169" t="s">
        <v>90</v>
      </c>
      <c r="C68" s="166"/>
      <c r="D68" s="166">
        <v>22500</v>
      </c>
      <c r="E68" s="166">
        <f t="shared" si="4"/>
        <v>16571380</v>
      </c>
      <c r="F68" s="172">
        <v>46100</v>
      </c>
      <c r="G68" s="112" t="s">
        <v>23</v>
      </c>
      <c r="H68" s="166">
        <f>Harian!H833</f>
        <v>17601600</v>
      </c>
      <c r="I68" s="166"/>
      <c r="J68" s="166">
        <f t="shared" si="3"/>
        <v>47053022</v>
      </c>
    </row>
    <row r="69" spans="1:10">
      <c r="A69" s="168"/>
      <c r="B69" s="169" t="s">
        <v>79</v>
      </c>
      <c r="C69" s="166"/>
      <c r="D69" s="166">
        <v>13000000</v>
      </c>
      <c r="E69" s="166">
        <f t="shared" si="4"/>
        <v>3571380</v>
      </c>
      <c r="F69" s="112"/>
      <c r="G69" s="112" t="s">
        <v>87</v>
      </c>
      <c r="H69" s="166"/>
      <c r="I69" s="166">
        <v>168970</v>
      </c>
      <c r="J69" s="166">
        <f t="shared" si="3"/>
        <v>46884052</v>
      </c>
    </row>
    <row r="70" spans="1:10">
      <c r="A70" s="168">
        <v>46098</v>
      </c>
      <c r="B70" s="112" t="s">
        <v>23</v>
      </c>
      <c r="C70" s="166">
        <v>14172900</v>
      </c>
      <c r="D70" s="166"/>
      <c r="E70" s="166">
        <f t="shared" si="4"/>
        <v>17744280</v>
      </c>
      <c r="F70" s="112"/>
      <c r="G70" s="169" t="s">
        <v>78</v>
      </c>
      <c r="H70" s="166"/>
      <c r="I70" s="166">
        <v>283800</v>
      </c>
      <c r="J70" s="166">
        <f t="shared" si="3"/>
        <v>46600252</v>
      </c>
    </row>
    <row r="71" spans="1:10">
      <c r="A71" s="168"/>
      <c r="B71" s="169" t="s">
        <v>78</v>
      </c>
      <c r="C71" s="166"/>
      <c r="D71" s="166">
        <v>185000</v>
      </c>
      <c r="E71" s="166">
        <f t="shared" si="4"/>
        <v>17559280</v>
      </c>
      <c r="F71" s="172">
        <v>46101</v>
      </c>
      <c r="G71" s="112" t="s">
        <v>23</v>
      </c>
      <c r="H71" s="166">
        <v>23180000</v>
      </c>
      <c r="I71" s="166"/>
      <c r="J71" s="166">
        <f t="shared" si="3"/>
        <v>69780252</v>
      </c>
    </row>
    <row r="72" spans="1:10">
      <c r="A72" s="168"/>
      <c r="B72" s="169" t="s">
        <v>74</v>
      </c>
      <c r="C72" s="166"/>
      <c r="D72" s="166">
        <v>200000</v>
      </c>
      <c r="E72" s="166">
        <f t="shared" si="4"/>
        <v>17359280</v>
      </c>
      <c r="F72" s="112"/>
      <c r="G72" s="169" t="s">
        <v>78</v>
      </c>
      <c r="H72" s="166"/>
      <c r="I72" s="166">
        <v>469000</v>
      </c>
      <c r="J72" s="166">
        <f t="shared" si="3"/>
        <v>69311252</v>
      </c>
    </row>
    <row r="73" spans="1:10">
      <c r="A73" s="168"/>
      <c r="B73" s="169" t="s">
        <v>87</v>
      </c>
      <c r="C73" s="166"/>
      <c r="D73" s="166">
        <v>1675858</v>
      </c>
      <c r="E73" s="166">
        <f t="shared" si="4"/>
        <v>15683422</v>
      </c>
      <c r="F73" s="112"/>
      <c r="G73" s="169" t="s">
        <v>74</v>
      </c>
      <c r="H73" s="166"/>
      <c r="I73" s="166">
        <v>300000</v>
      </c>
      <c r="J73" s="166">
        <f t="shared" si="3"/>
        <v>69011252</v>
      </c>
    </row>
    <row r="74" spans="1:10">
      <c r="A74" s="168"/>
      <c r="B74" s="169" t="s">
        <v>81</v>
      </c>
      <c r="C74" s="166"/>
      <c r="D74" s="166">
        <v>10000</v>
      </c>
      <c r="E74" s="166">
        <f t="shared" si="4"/>
        <v>15673422</v>
      </c>
      <c r="F74" s="172">
        <v>46102</v>
      </c>
      <c r="G74" s="112" t="s">
        <v>23</v>
      </c>
      <c r="H74" s="166">
        <v>13476600</v>
      </c>
      <c r="I74" s="166"/>
      <c r="J74" s="166">
        <f t="shared" si="3"/>
        <v>82487852</v>
      </c>
    </row>
    <row r="75" spans="1:10">
      <c r="A75" s="168"/>
      <c r="B75" s="169" t="s">
        <v>79</v>
      </c>
      <c r="C75" s="166"/>
      <c r="D75" s="166">
        <v>12000000</v>
      </c>
      <c r="E75" s="166">
        <f t="shared" si="4"/>
        <v>3673422</v>
      </c>
      <c r="F75" s="112"/>
      <c r="G75" s="169" t="s">
        <v>78</v>
      </c>
      <c r="H75" s="166"/>
      <c r="I75" s="166">
        <v>721924</v>
      </c>
      <c r="J75" s="166">
        <f t="shared" si="3"/>
        <v>81765928</v>
      </c>
    </row>
    <row r="76" spans="1:10">
      <c r="A76" s="168">
        <v>46099</v>
      </c>
      <c r="B76" s="112" t="s">
        <v>23</v>
      </c>
      <c r="C76" s="166">
        <v>19708000</v>
      </c>
      <c r="D76" s="166"/>
      <c r="E76" s="166">
        <f t="shared" si="4"/>
        <v>23381422</v>
      </c>
      <c r="F76" s="112"/>
      <c r="G76" s="169" t="s">
        <v>74</v>
      </c>
      <c r="H76" s="166"/>
      <c r="I76" s="166">
        <v>338500</v>
      </c>
      <c r="J76" s="166">
        <f t="shared" si="3"/>
        <v>81427428</v>
      </c>
    </row>
    <row r="77" spans="1:10">
      <c r="A77" s="168"/>
      <c r="B77" s="169" t="s">
        <v>78</v>
      </c>
      <c r="C77" s="166"/>
      <c r="D77" s="166">
        <v>400000</v>
      </c>
      <c r="E77" s="166">
        <f t="shared" si="4"/>
        <v>22981422</v>
      </c>
      <c r="F77" s="112"/>
      <c r="G77" s="170" t="s">
        <v>88</v>
      </c>
      <c r="H77" s="166"/>
      <c r="I77" s="166">
        <v>15000</v>
      </c>
      <c r="J77" s="166">
        <f t="shared" ref="J77:J94" si="5">J76+H77-I77</f>
        <v>81412428</v>
      </c>
    </row>
    <row r="78" spans="1:10">
      <c r="A78" s="168"/>
      <c r="B78" s="169" t="s">
        <v>85</v>
      </c>
      <c r="C78" s="166"/>
      <c r="D78" s="166">
        <v>50000</v>
      </c>
      <c r="E78" s="166">
        <f t="shared" si="4"/>
        <v>22931422</v>
      </c>
      <c r="F78" s="112"/>
      <c r="G78" s="169" t="s">
        <v>83</v>
      </c>
      <c r="H78" s="166"/>
      <c r="I78" s="166">
        <v>1000000</v>
      </c>
      <c r="J78" s="166">
        <f t="shared" si="5"/>
        <v>80412428</v>
      </c>
    </row>
    <row r="79" spans="1:10">
      <c r="A79" s="168"/>
      <c r="B79" s="169" t="s">
        <v>91</v>
      </c>
      <c r="C79" s="166"/>
      <c r="D79" s="166">
        <v>480000</v>
      </c>
      <c r="E79" s="166">
        <f t="shared" si="4"/>
        <v>22451422</v>
      </c>
      <c r="F79" s="172">
        <v>46103</v>
      </c>
      <c r="G79" s="112" t="s">
        <v>23</v>
      </c>
      <c r="H79" s="166">
        <v>14877200</v>
      </c>
      <c r="I79" s="166"/>
      <c r="J79" s="166">
        <f t="shared" si="5"/>
        <v>95289628</v>
      </c>
    </row>
    <row r="80" spans="1:10">
      <c r="A80" s="168"/>
      <c r="B80" s="169" t="s">
        <v>92</v>
      </c>
      <c r="C80" s="166"/>
      <c r="D80" s="166">
        <v>6000000</v>
      </c>
      <c r="E80" s="166">
        <f t="shared" si="4"/>
        <v>16451422</v>
      </c>
      <c r="F80" s="112"/>
      <c r="G80" s="169" t="s">
        <v>78</v>
      </c>
      <c r="H80" s="166"/>
      <c r="I80" s="166">
        <v>298500</v>
      </c>
      <c r="J80" s="166">
        <f t="shared" si="5"/>
        <v>94991128</v>
      </c>
    </row>
    <row r="81" spans="1:10">
      <c r="A81" s="168"/>
      <c r="B81" s="169" t="s">
        <v>79</v>
      </c>
      <c r="C81" s="166"/>
      <c r="D81" s="166">
        <v>14000000</v>
      </c>
      <c r="E81" s="166">
        <f t="shared" si="4"/>
        <v>2451422</v>
      </c>
      <c r="F81" s="112"/>
      <c r="G81" s="169" t="s">
        <v>74</v>
      </c>
      <c r="H81" s="166"/>
      <c r="I81" s="166">
        <v>351500</v>
      </c>
      <c r="J81" s="166">
        <f t="shared" si="5"/>
        <v>94639628</v>
      </c>
    </row>
    <row r="82" spans="1:10">
      <c r="A82" s="168">
        <v>46100</v>
      </c>
      <c r="B82" s="112" t="s">
        <v>23</v>
      </c>
      <c r="C82" s="166">
        <v>17601600</v>
      </c>
      <c r="D82" s="166"/>
      <c r="E82" s="166">
        <f t="shared" si="4"/>
        <v>20053022</v>
      </c>
      <c r="F82" s="112"/>
      <c r="G82" s="169" t="s">
        <v>93</v>
      </c>
      <c r="H82" s="166"/>
      <c r="I82" s="166">
        <v>440000</v>
      </c>
      <c r="J82" s="166">
        <f t="shared" si="5"/>
        <v>94199628</v>
      </c>
    </row>
    <row r="83" spans="1:10">
      <c r="A83" s="168"/>
      <c r="B83" s="169" t="s">
        <v>87</v>
      </c>
      <c r="C83" s="166"/>
      <c r="D83" s="166">
        <v>168970</v>
      </c>
      <c r="E83" s="166">
        <f t="shared" si="4"/>
        <v>19884052</v>
      </c>
      <c r="F83" s="112"/>
      <c r="G83" s="169" t="s">
        <v>83</v>
      </c>
      <c r="H83" s="166"/>
      <c r="I83" s="166">
        <v>27000000</v>
      </c>
      <c r="J83" s="166">
        <f t="shared" si="5"/>
        <v>67199628</v>
      </c>
    </row>
    <row r="84" spans="1:10">
      <c r="A84" s="168"/>
      <c r="B84" s="169" t="s">
        <v>78</v>
      </c>
      <c r="C84" s="166"/>
      <c r="D84" s="166">
        <v>283800</v>
      </c>
      <c r="E84" s="166">
        <f t="shared" si="4"/>
        <v>19600252</v>
      </c>
      <c r="F84" s="112"/>
      <c r="G84" s="169" t="s">
        <v>85</v>
      </c>
      <c r="H84" s="166"/>
      <c r="I84" s="166">
        <v>50000</v>
      </c>
      <c r="J84" s="166">
        <f t="shared" si="5"/>
        <v>67149628</v>
      </c>
    </row>
    <row r="85" spans="1:10">
      <c r="A85" s="168"/>
      <c r="B85" s="169" t="s">
        <v>79</v>
      </c>
      <c r="C85" s="166"/>
      <c r="D85" s="166">
        <v>17000000</v>
      </c>
      <c r="E85" s="166">
        <f t="shared" si="4"/>
        <v>2600252</v>
      </c>
      <c r="F85" s="168">
        <v>46104</v>
      </c>
      <c r="G85" s="112" t="s">
        <v>23</v>
      </c>
      <c r="H85" s="166">
        <v>15801000</v>
      </c>
      <c r="I85" s="166"/>
      <c r="J85" s="166">
        <f t="shared" si="5"/>
        <v>82950628</v>
      </c>
    </row>
    <row r="86" spans="1:10">
      <c r="A86" s="168">
        <v>46101</v>
      </c>
      <c r="B86" s="112" t="s">
        <v>23</v>
      </c>
      <c r="C86" s="166">
        <v>23180000</v>
      </c>
      <c r="D86" s="166"/>
      <c r="E86" s="166">
        <f t="shared" si="4"/>
        <v>25780252</v>
      </c>
      <c r="F86" s="168"/>
      <c r="G86" s="169" t="s">
        <v>78</v>
      </c>
      <c r="H86" s="166"/>
      <c r="I86" s="166">
        <v>658000</v>
      </c>
      <c r="J86" s="166">
        <f t="shared" si="5"/>
        <v>82292628</v>
      </c>
    </row>
    <row r="87" spans="1:10">
      <c r="A87" s="168"/>
      <c r="B87" s="169" t="s">
        <v>78</v>
      </c>
      <c r="C87" s="166"/>
      <c r="D87" s="166">
        <v>469000</v>
      </c>
      <c r="E87" s="166">
        <f t="shared" si="4"/>
        <v>25311252</v>
      </c>
      <c r="F87" s="168"/>
      <c r="G87" s="169" t="s">
        <v>74</v>
      </c>
      <c r="H87" s="166"/>
      <c r="I87" s="166">
        <v>1185000</v>
      </c>
      <c r="J87" s="166">
        <f t="shared" si="5"/>
        <v>81107628</v>
      </c>
    </row>
    <row r="88" spans="1:10">
      <c r="A88" s="168"/>
      <c r="B88" s="169" t="s">
        <v>74</v>
      </c>
      <c r="C88" s="166"/>
      <c r="D88" s="166">
        <v>300000</v>
      </c>
      <c r="E88" s="166">
        <f t="shared" si="4"/>
        <v>25011252</v>
      </c>
      <c r="F88" s="168">
        <v>46105</v>
      </c>
      <c r="G88" s="112" t="s">
        <v>23</v>
      </c>
      <c r="H88" s="166">
        <v>16632500</v>
      </c>
      <c r="I88" s="166"/>
      <c r="J88" s="166">
        <f t="shared" si="5"/>
        <v>97740128</v>
      </c>
    </row>
    <row r="89" spans="1:10">
      <c r="A89" s="168"/>
      <c r="B89" s="170" t="s">
        <v>88</v>
      </c>
      <c r="C89" s="166"/>
      <c r="D89" s="166">
        <v>15000</v>
      </c>
      <c r="E89" s="166">
        <f t="shared" si="4"/>
        <v>24996252</v>
      </c>
      <c r="F89" s="168"/>
      <c r="G89" s="169" t="s">
        <v>78</v>
      </c>
      <c r="H89" s="166"/>
      <c r="I89" s="166">
        <v>942000</v>
      </c>
      <c r="J89" s="166">
        <f t="shared" si="5"/>
        <v>96798128</v>
      </c>
    </row>
    <row r="90" spans="1:10">
      <c r="A90" s="168"/>
      <c r="B90" s="169" t="s">
        <v>79</v>
      </c>
      <c r="C90" s="166"/>
      <c r="D90" s="166">
        <v>22000000</v>
      </c>
      <c r="E90" s="166">
        <f t="shared" si="4"/>
        <v>2996252</v>
      </c>
      <c r="F90" s="168">
        <v>46106</v>
      </c>
      <c r="G90" s="112" t="s">
        <v>23</v>
      </c>
      <c r="H90" s="166">
        <v>28610000</v>
      </c>
      <c r="I90" s="166"/>
      <c r="J90" s="166">
        <f t="shared" ref="J90:J101" si="6">J89+H90-I90</f>
        <v>125408128</v>
      </c>
    </row>
    <row r="91" spans="1:10">
      <c r="A91" s="168">
        <v>46102</v>
      </c>
      <c r="B91" s="112" t="s">
        <v>23</v>
      </c>
      <c r="C91" s="166">
        <v>13476600</v>
      </c>
      <c r="D91" s="166"/>
      <c r="E91" s="166">
        <f t="shared" si="4"/>
        <v>16472852</v>
      </c>
      <c r="F91" s="112"/>
      <c r="G91" s="169" t="s">
        <v>78</v>
      </c>
      <c r="H91" s="166"/>
      <c r="I91" s="166">
        <v>160000</v>
      </c>
      <c r="J91" s="166">
        <f t="shared" si="6"/>
        <v>125248128</v>
      </c>
    </row>
    <row r="92" spans="1:10">
      <c r="A92" s="168"/>
      <c r="B92" s="169" t="s">
        <v>83</v>
      </c>
      <c r="C92" s="166"/>
      <c r="D92" s="166">
        <v>1000000</v>
      </c>
      <c r="E92" s="166">
        <f t="shared" si="4"/>
        <v>15472852</v>
      </c>
      <c r="F92" s="112"/>
      <c r="G92" s="169" t="s">
        <v>74</v>
      </c>
      <c r="H92" s="166"/>
      <c r="I92" s="166">
        <v>558500</v>
      </c>
      <c r="J92" s="166">
        <f t="shared" si="6"/>
        <v>124689628</v>
      </c>
    </row>
    <row r="93" spans="1:10">
      <c r="A93" s="168"/>
      <c r="B93" s="169" t="s">
        <v>78</v>
      </c>
      <c r="C93" s="166"/>
      <c r="D93" s="166">
        <v>721924</v>
      </c>
      <c r="E93" s="166">
        <f t="shared" si="4"/>
        <v>14750928</v>
      </c>
      <c r="F93" s="112"/>
      <c r="G93" s="169" t="s">
        <v>81</v>
      </c>
      <c r="H93" s="166"/>
      <c r="I93" s="166">
        <v>10000</v>
      </c>
      <c r="J93" s="166">
        <f t="shared" si="6"/>
        <v>124679628</v>
      </c>
    </row>
    <row r="94" spans="1:10">
      <c r="A94" s="168"/>
      <c r="B94" s="169" t="s">
        <v>74</v>
      </c>
      <c r="C94" s="166"/>
      <c r="D94" s="166">
        <v>338500</v>
      </c>
      <c r="E94" s="166">
        <f t="shared" si="4"/>
        <v>14412428</v>
      </c>
      <c r="F94" s="112"/>
      <c r="G94" s="169" t="s">
        <v>86</v>
      </c>
      <c r="H94" s="166"/>
      <c r="I94" s="166">
        <v>385000</v>
      </c>
      <c r="J94" s="166">
        <f t="shared" si="6"/>
        <v>124294628</v>
      </c>
    </row>
    <row r="95" spans="1:10">
      <c r="A95" s="168"/>
      <c r="B95" s="169" t="s">
        <v>79</v>
      </c>
      <c r="C95" s="112"/>
      <c r="D95" s="166">
        <v>12000000</v>
      </c>
      <c r="E95" s="166">
        <f t="shared" si="4"/>
        <v>2412428</v>
      </c>
      <c r="F95" s="168">
        <v>46107</v>
      </c>
      <c r="G95" s="112" t="s">
        <v>23</v>
      </c>
      <c r="H95" s="166">
        <v>15555500</v>
      </c>
      <c r="I95" s="166"/>
      <c r="J95" s="166">
        <f t="shared" si="6"/>
        <v>139850128</v>
      </c>
    </row>
    <row r="96" spans="1:10">
      <c r="A96" s="168">
        <v>46103</v>
      </c>
      <c r="B96" s="112" t="s">
        <v>23</v>
      </c>
      <c r="C96" s="166">
        <v>14877200</v>
      </c>
      <c r="D96" s="166"/>
      <c r="E96" s="166">
        <f t="shared" si="4"/>
        <v>17289628</v>
      </c>
      <c r="F96" s="112"/>
      <c r="G96" s="169" t="s">
        <v>85</v>
      </c>
      <c r="H96" s="166"/>
      <c r="I96" s="166">
        <v>50000</v>
      </c>
      <c r="J96" s="166">
        <f t="shared" si="6"/>
        <v>139800128</v>
      </c>
    </row>
    <row r="97" spans="1:10">
      <c r="A97" s="168"/>
      <c r="B97" s="169" t="s">
        <v>78</v>
      </c>
      <c r="C97" s="166"/>
      <c r="D97" s="166">
        <v>298500</v>
      </c>
      <c r="E97" s="166">
        <f t="shared" si="4"/>
        <v>16991128</v>
      </c>
      <c r="F97" s="112"/>
      <c r="G97" s="169" t="s">
        <v>78</v>
      </c>
      <c r="H97" s="166"/>
      <c r="I97" s="166">
        <v>727500</v>
      </c>
      <c r="J97" s="166">
        <f t="shared" si="6"/>
        <v>139072628</v>
      </c>
    </row>
    <row r="98" spans="1:10">
      <c r="A98" s="168"/>
      <c r="B98" s="169" t="s">
        <v>74</v>
      </c>
      <c r="C98" s="166"/>
      <c r="D98" s="166">
        <v>351500</v>
      </c>
      <c r="E98" s="166">
        <f t="shared" si="4"/>
        <v>16639628</v>
      </c>
      <c r="F98" s="112"/>
      <c r="G98" s="169" t="s">
        <v>74</v>
      </c>
      <c r="H98" s="166"/>
      <c r="I98" s="166">
        <v>120000</v>
      </c>
      <c r="J98" s="166">
        <f t="shared" si="6"/>
        <v>138952628</v>
      </c>
    </row>
    <row r="99" spans="1:10">
      <c r="A99" s="168"/>
      <c r="B99" s="169" t="s">
        <v>93</v>
      </c>
      <c r="C99" s="166"/>
      <c r="D99" s="166">
        <v>440000</v>
      </c>
      <c r="E99" s="166">
        <f t="shared" si="4"/>
        <v>16199628</v>
      </c>
      <c r="F99" s="168"/>
      <c r="G99" s="169" t="s">
        <v>83</v>
      </c>
      <c r="H99" s="166"/>
      <c r="I99" s="166">
        <v>136000000</v>
      </c>
      <c r="J99" s="166">
        <f t="shared" si="6"/>
        <v>2952628</v>
      </c>
    </row>
    <row r="100" spans="1:10">
      <c r="A100" s="168"/>
      <c r="B100" s="169" t="s">
        <v>79</v>
      </c>
      <c r="C100" s="166"/>
      <c r="D100" s="166">
        <v>13000000</v>
      </c>
      <c r="E100" s="166">
        <f t="shared" si="4"/>
        <v>3199628</v>
      </c>
      <c r="F100" s="168">
        <v>46108</v>
      </c>
      <c r="G100" s="112" t="s">
        <v>23</v>
      </c>
      <c r="H100" s="166">
        <v>11037300</v>
      </c>
      <c r="I100" s="166"/>
      <c r="J100" s="166">
        <f t="shared" si="6"/>
        <v>13989928</v>
      </c>
    </row>
    <row r="101" spans="1:10">
      <c r="A101" s="112"/>
      <c r="B101" s="169" t="s">
        <v>85</v>
      </c>
      <c r="C101" s="166"/>
      <c r="D101" s="166">
        <v>50000</v>
      </c>
      <c r="E101" s="166">
        <f t="shared" ref="E101:E122" si="7">E100+C101-D101</f>
        <v>3149628</v>
      </c>
      <c r="F101" s="112"/>
      <c r="G101" s="169" t="s">
        <v>78</v>
      </c>
      <c r="H101" s="166"/>
      <c r="I101" s="166">
        <v>475000</v>
      </c>
      <c r="J101" s="166">
        <f t="shared" si="6"/>
        <v>13514928</v>
      </c>
    </row>
    <row r="102" spans="1:10">
      <c r="A102" s="168">
        <v>46104</v>
      </c>
      <c r="B102" s="112" t="s">
        <v>23</v>
      </c>
      <c r="C102" s="166">
        <v>15801000</v>
      </c>
      <c r="D102" s="166"/>
      <c r="E102" s="166">
        <f t="shared" si="7"/>
        <v>18950628</v>
      </c>
      <c r="F102" s="112"/>
      <c r="G102" s="112"/>
      <c r="H102" s="166"/>
      <c r="I102" s="166"/>
      <c r="J102" s="166"/>
    </row>
    <row r="103" spans="1:10">
      <c r="A103" s="168"/>
      <c r="B103" s="169" t="s">
        <v>78</v>
      </c>
      <c r="C103" s="166"/>
      <c r="D103" s="166">
        <v>658000</v>
      </c>
      <c r="E103" s="166">
        <f t="shared" si="7"/>
        <v>18292628</v>
      </c>
      <c r="F103" s="112"/>
      <c r="G103" s="112"/>
      <c r="H103" s="166"/>
      <c r="I103" s="166"/>
      <c r="J103" s="166"/>
    </row>
    <row r="104" spans="1:10">
      <c r="A104" s="168"/>
      <c r="B104" s="169" t="s">
        <v>74</v>
      </c>
      <c r="C104" s="166"/>
      <c r="D104" s="166">
        <v>1185000</v>
      </c>
      <c r="E104" s="166">
        <f t="shared" si="7"/>
        <v>17107628</v>
      </c>
      <c r="F104" s="112"/>
      <c r="G104" s="112"/>
      <c r="H104" s="166"/>
      <c r="I104" s="166"/>
      <c r="J104" s="166"/>
    </row>
    <row r="105" spans="1:10">
      <c r="A105" s="168"/>
      <c r="B105" s="169" t="s">
        <v>79</v>
      </c>
      <c r="C105" s="166"/>
      <c r="D105" s="166">
        <v>15000000</v>
      </c>
      <c r="E105" s="166">
        <f t="shared" si="7"/>
        <v>2107628</v>
      </c>
      <c r="F105" s="112"/>
      <c r="G105" s="112"/>
      <c r="H105" s="166"/>
      <c r="I105" s="166"/>
      <c r="J105" s="166"/>
    </row>
    <row r="106" spans="1:10">
      <c r="A106" s="168">
        <v>46105</v>
      </c>
      <c r="B106" s="112" t="s">
        <v>23</v>
      </c>
      <c r="C106" s="166">
        <v>16632500</v>
      </c>
      <c r="D106" s="166"/>
      <c r="E106" s="166">
        <f t="shared" si="7"/>
        <v>18740128</v>
      </c>
      <c r="F106" s="112"/>
      <c r="G106" s="112"/>
      <c r="H106" s="166"/>
      <c r="I106" s="166"/>
      <c r="J106" s="166"/>
    </row>
    <row r="107" spans="1:10">
      <c r="A107" s="168"/>
      <c r="B107" s="169" t="s">
        <v>78</v>
      </c>
      <c r="C107" s="166"/>
      <c r="D107" s="166">
        <v>942000</v>
      </c>
      <c r="E107" s="166">
        <f t="shared" si="7"/>
        <v>17798128</v>
      </c>
      <c r="F107" s="112"/>
      <c r="G107" s="112"/>
      <c r="H107" s="166"/>
      <c r="I107" s="166"/>
      <c r="J107" s="166"/>
    </row>
    <row r="108" spans="1:10">
      <c r="A108" s="168"/>
      <c r="B108" s="169" t="s">
        <v>79</v>
      </c>
      <c r="C108" s="166"/>
      <c r="D108" s="166">
        <v>16000000</v>
      </c>
      <c r="E108" s="166">
        <f t="shared" si="7"/>
        <v>1798128</v>
      </c>
      <c r="F108" s="112"/>
      <c r="G108" s="112"/>
      <c r="H108" s="166"/>
      <c r="I108" s="166"/>
      <c r="J108" s="166"/>
    </row>
    <row r="109" spans="1:10">
      <c r="A109" s="168">
        <v>46106</v>
      </c>
      <c r="B109" s="112" t="s">
        <v>23</v>
      </c>
      <c r="C109" s="166">
        <v>28610000</v>
      </c>
      <c r="D109" s="166"/>
      <c r="E109" s="166">
        <f t="shared" si="7"/>
        <v>30408128</v>
      </c>
      <c r="F109" s="112"/>
      <c r="G109" s="112"/>
      <c r="H109" s="166"/>
      <c r="I109" s="166"/>
      <c r="J109" s="166"/>
    </row>
    <row r="110" spans="1:10">
      <c r="A110" s="168"/>
      <c r="B110" s="169" t="s">
        <v>78</v>
      </c>
      <c r="C110" s="166"/>
      <c r="D110" s="166">
        <v>160000</v>
      </c>
      <c r="E110" s="166">
        <f t="shared" si="7"/>
        <v>30248128</v>
      </c>
      <c r="F110" s="112"/>
      <c r="G110" s="112"/>
      <c r="H110" s="166"/>
      <c r="I110" s="166"/>
      <c r="J110" s="166"/>
    </row>
    <row r="111" spans="1:10">
      <c r="A111" s="112"/>
      <c r="B111" s="169" t="s">
        <v>74</v>
      </c>
      <c r="C111" s="166"/>
      <c r="D111" s="166">
        <v>558500</v>
      </c>
      <c r="E111" s="166">
        <f t="shared" si="7"/>
        <v>29689628</v>
      </c>
      <c r="H111" s="173"/>
      <c r="I111" s="173"/>
      <c r="J111" s="173"/>
    </row>
    <row r="112" spans="1:10">
      <c r="A112" s="112"/>
      <c r="B112" s="169" t="s">
        <v>81</v>
      </c>
      <c r="C112" s="166"/>
      <c r="D112" s="166">
        <v>10000</v>
      </c>
      <c r="E112" s="166">
        <f t="shared" si="7"/>
        <v>29679628</v>
      </c>
      <c r="H112" s="173"/>
      <c r="I112" s="173"/>
      <c r="J112" s="173"/>
    </row>
    <row r="113" spans="1:5">
      <c r="A113" s="112"/>
      <c r="B113" s="169" t="s">
        <v>86</v>
      </c>
      <c r="C113" s="166"/>
      <c r="D113" s="166">
        <v>385000</v>
      </c>
      <c r="E113" s="166">
        <f t="shared" si="7"/>
        <v>29294628</v>
      </c>
    </row>
    <row r="114" spans="1:5">
      <c r="A114" s="112"/>
      <c r="B114" s="169" t="s">
        <v>79</v>
      </c>
      <c r="C114" s="166"/>
      <c r="D114" s="166">
        <v>27000000</v>
      </c>
      <c r="E114" s="166">
        <f t="shared" si="7"/>
        <v>2294628</v>
      </c>
    </row>
    <row r="115" spans="1:5">
      <c r="A115" s="168">
        <v>46107</v>
      </c>
      <c r="B115" s="112" t="s">
        <v>23</v>
      </c>
      <c r="C115" s="166">
        <v>15555500</v>
      </c>
      <c r="D115" s="166"/>
      <c r="E115" s="166">
        <f t="shared" si="7"/>
        <v>17850128</v>
      </c>
    </row>
    <row r="116" spans="1:5">
      <c r="A116" s="168"/>
      <c r="B116" s="169" t="s">
        <v>85</v>
      </c>
      <c r="C116" s="166"/>
      <c r="D116" s="166">
        <v>50000</v>
      </c>
      <c r="E116" s="166">
        <f t="shared" si="7"/>
        <v>17800128</v>
      </c>
    </row>
    <row r="117" spans="1:5">
      <c r="A117" s="112"/>
      <c r="B117" s="169" t="s">
        <v>78</v>
      </c>
      <c r="C117" s="166"/>
      <c r="D117" s="166">
        <v>727500</v>
      </c>
      <c r="E117" s="166">
        <f t="shared" si="7"/>
        <v>17072628</v>
      </c>
    </row>
    <row r="118" spans="1:5">
      <c r="A118" s="112"/>
      <c r="B118" s="169" t="s">
        <v>74</v>
      </c>
      <c r="C118" s="166"/>
      <c r="D118" s="166">
        <v>120000</v>
      </c>
      <c r="E118" s="166">
        <f t="shared" si="7"/>
        <v>16952628</v>
      </c>
    </row>
    <row r="119" spans="1:5">
      <c r="A119" s="112"/>
      <c r="B119" s="169" t="s">
        <v>79</v>
      </c>
      <c r="C119" s="166"/>
      <c r="D119" s="166">
        <v>14000000</v>
      </c>
      <c r="E119" s="166">
        <f t="shared" si="7"/>
        <v>2952628</v>
      </c>
    </row>
    <row r="120" spans="1:5">
      <c r="A120" s="168">
        <v>46108</v>
      </c>
      <c r="B120" s="112" t="s">
        <v>23</v>
      </c>
      <c r="C120" s="166">
        <v>11037300</v>
      </c>
      <c r="D120" s="166"/>
      <c r="E120" s="166">
        <f t="shared" si="7"/>
        <v>13989928</v>
      </c>
    </row>
    <row r="121" spans="1:5">
      <c r="A121" s="112"/>
      <c r="B121" s="169" t="s">
        <v>78</v>
      </c>
      <c r="C121" s="166"/>
      <c r="D121" s="166">
        <v>475000</v>
      </c>
      <c r="E121" s="166">
        <f t="shared" si="7"/>
        <v>13514928</v>
      </c>
    </row>
    <row r="122" spans="1:5">
      <c r="A122" s="112"/>
      <c r="B122" s="169" t="s">
        <v>79</v>
      </c>
      <c r="C122" s="166"/>
      <c r="D122" s="166">
        <v>10000000</v>
      </c>
      <c r="E122" s="166">
        <f t="shared" si="7"/>
        <v>3514928</v>
      </c>
    </row>
    <row r="123" spans="1:5">
      <c r="A123" s="112"/>
      <c r="B123" s="112"/>
      <c r="C123" s="166"/>
      <c r="D123" s="166"/>
      <c r="E123" s="166"/>
    </row>
    <row r="124" spans="1:5">
      <c r="C124" s="173"/>
      <c r="D124" s="173"/>
      <c r="E124" s="173"/>
    </row>
    <row r="125" spans="1:5">
      <c r="C125" s="173"/>
      <c r="D125" s="173"/>
      <c r="E125" s="173"/>
    </row>
    <row r="126" spans="1:5">
      <c r="C126" s="173"/>
      <c r="D126" s="173"/>
      <c r="E126" s="173"/>
    </row>
    <row r="127" spans="1:5">
      <c r="C127" s="173"/>
      <c r="D127" s="173"/>
      <c r="E127" s="173"/>
    </row>
    <row r="128" spans="1:5">
      <c r="C128" s="173"/>
      <c r="D128" s="173"/>
      <c r="E128" s="173"/>
    </row>
    <row r="129" spans="3:5">
      <c r="C129" s="173"/>
      <c r="D129" s="173"/>
      <c r="E129" s="173"/>
    </row>
    <row r="130" spans="3:5">
      <c r="C130" s="173"/>
      <c r="D130" s="173"/>
      <c r="E130" s="173"/>
    </row>
    <row r="131" spans="3:5">
      <c r="C131" s="173"/>
      <c r="D131" s="173"/>
      <c r="E131" s="173"/>
    </row>
    <row r="132" spans="3:5">
      <c r="C132" s="173"/>
      <c r="D132" s="173"/>
      <c r="E132" s="173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view="pageLayout" zoomScaleNormal="100" workbookViewId="0">
      <selection activeCell="E15" sqref="E15"/>
    </sheetView>
  </sheetViews>
  <sheetFormatPr defaultColWidth="9.14285714285714" defaultRowHeight="15"/>
  <cols>
    <col min="1" max="1" width="15.5333333333333" customWidth="1"/>
    <col min="2" max="2" width="20.6190476190476" customWidth="1"/>
    <col min="3" max="3" width="16.8666666666667" customWidth="1"/>
    <col min="5" max="5" width="18.3428571428571" customWidth="1"/>
    <col min="6" max="6" width="17.1428571428571" customWidth="1"/>
  </cols>
  <sheetData>
    <row r="1" ht="23.25" spans="1:9">
      <c r="A1" s="136" t="s">
        <v>94</v>
      </c>
      <c r="B1" s="136"/>
      <c r="C1" s="136"/>
      <c r="D1" s="136"/>
      <c r="E1" s="136"/>
      <c r="F1" s="136"/>
      <c r="G1" s="137"/>
      <c r="H1" s="137"/>
      <c r="I1" s="137"/>
    </row>
    <row r="2" ht="23.25" spans="1:9">
      <c r="A2" s="136"/>
      <c r="B2" s="136"/>
      <c r="C2" s="136"/>
      <c r="D2" s="136"/>
      <c r="E2" s="136"/>
      <c r="F2" s="136"/>
      <c r="G2" s="137"/>
      <c r="H2" s="137"/>
      <c r="I2" s="137"/>
    </row>
    <row r="3" ht="23.25" spans="1:9">
      <c r="A3" s="136"/>
      <c r="B3" s="136"/>
      <c r="C3" s="136"/>
      <c r="D3" s="136"/>
      <c r="E3" s="136"/>
      <c r="F3" s="136"/>
      <c r="G3" s="137"/>
      <c r="H3" s="137"/>
      <c r="I3" s="137"/>
    </row>
    <row r="4" ht="23.25" spans="1:9">
      <c r="A4" s="136"/>
      <c r="B4" s="136"/>
      <c r="C4" s="136"/>
      <c r="D4" s="136"/>
      <c r="E4" s="136"/>
      <c r="F4" s="136"/>
      <c r="G4" s="137"/>
      <c r="H4" s="137"/>
      <c r="I4" s="137"/>
    </row>
    <row r="5" ht="31" customHeight="1" spans="1:9">
      <c r="A5" s="136"/>
      <c r="B5" s="136"/>
      <c r="C5" s="136"/>
      <c r="D5" s="136"/>
      <c r="E5" s="136"/>
      <c r="F5" s="136"/>
      <c r="G5" s="137"/>
      <c r="H5" s="137"/>
      <c r="I5" s="137"/>
    </row>
    <row r="6" spans="1:9">
      <c r="A6" s="138"/>
      <c r="B6" s="138"/>
      <c r="C6" s="138"/>
      <c r="D6" s="138"/>
      <c r="E6" s="138"/>
      <c r="F6" s="138"/>
    </row>
    <row r="7" spans="1:9">
      <c r="A7" s="139" t="s">
        <v>95</v>
      </c>
      <c r="B7" s="138"/>
      <c r="C7" s="138"/>
      <c r="D7" s="138"/>
      <c r="E7" s="139" t="s">
        <v>85</v>
      </c>
      <c r="F7" s="138"/>
    </row>
    <row r="8" spans="1:9">
      <c r="A8" s="140">
        <v>46083</v>
      </c>
      <c r="B8" s="141" t="s">
        <v>80</v>
      </c>
      <c r="C8" s="142">
        <v>30000</v>
      </c>
      <c r="D8" s="138"/>
      <c r="E8" s="143">
        <v>46085</v>
      </c>
      <c r="F8" s="144">
        <v>50000</v>
      </c>
    </row>
    <row r="9" spans="1:9">
      <c r="A9" s="143">
        <v>46084</v>
      </c>
      <c r="B9" s="145" t="s">
        <v>81</v>
      </c>
      <c r="C9" s="146">
        <v>10000</v>
      </c>
      <c r="D9" s="138"/>
      <c r="E9" s="143">
        <v>46090</v>
      </c>
      <c r="F9" s="144">
        <v>50000</v>
      </c>
    </row>
    <row r="10" spans="1:9">
      <c r="A10" s="143">
        <v>46089</v>
      </c>
      <c r="B10" s="147" t="s">
        <v>96</v>
      </c>
      <c r="C10" s="146">
        <v>550000</v>
      </c>
      <c r="D10" s="148"/>
      <c r="E10" s="143">
        <v>46095</v>
      </c>
      <c r="F10" s="144">
        <v>50000</v>
      </c>
    </row>
    <row r="11" spans="1:9">
      <c r="A11" s="143">
        <v>46091</v>
      </c>
      <c r="B11" s="147" t="s">
        <v>81</v>
      </c>
      <c r="C11" s="146">
        <v>10000</v>
      </c>
      <c r="D11" s="148"/>
      <c r="E11" s="143">
        <v>46099</v>
      </c>
      <c r="F11" s="144">
        <v>50000</v>
      </c>
    </row>
    <row r="12" spans="1:9">
      <c r="A12" s="143">
        <v>46093</v>
      </c>
      <c r="B12" s="147" t="s">
        <v>97</v>
      </c>
      <c r="C12" s="146">
        <v>286050</v>
      </c>
      <c r="D12" s="148"/>
      <c r="E12" s="143">
        <v>46103</v>
      </c>
      <c r="F12" s="144">
        <v>50000</v>
      </c>
    </row>
    <row r="13" spans="1:9">
      <c r="A13" s="143"/>
      <c r="B13" s="147" t="s">
        <v>98</v>
      </c>
      <c r="C13" s="146">
        <v>1182495</v>
      </c>
      <c r="D13" s="148"/>
      <c r="E13" s="143">
        <v>46107</v>
      </c>
      <c r="F13" s="144">
        <v>50000</v>
      </c>
    </row>
    <row r="14" spans="1:9">
      <c r="A14" s="143">
        <v>46096</v>
      </c>
      <c r="B14" s="147" t="s">
        <v>81</v>
      </c>
      <c r="C14" s="146">
        <v>20000</v>
      </c>
      <c r="D14" s="148"/>
      <c r="E14" s="143"/>
      <c r="F14" s="144"/>
    </row>
    <row r="15" spans="1:9">
      <c r="A15" s="149">
        <v>46097</v>
      </c>
      <c r="B15" s="147" t="s">
        <v>90</v>
      </c>
      <c r="C15" s="146">
        <v>22500</v>
      </c>
      <c r="D15" s="148"/>
      <c r="E15" s="143"/>
      <c r="F15" s="150"/>
    </row>
    <row r="16" spans="1:9">
      <c r="A16" s="143">
        <v>46098</v>
      </c>
      <c r="B16" s="147" t="s">
        <v>81</v>
      </c>
      <c r="C16" s="146">
        <v>10000</v>
      </c>
      <c r="D16" s="148"/>
      <c r="E16" s="151"/>
      <c r="F16" s="152"/>
    </row>
    <row r="17" spans="1:6">
      <c r="A17" s="143">
        <v>46099</v>
      </c>
      <c r="B17" s="147" t="s">
        <v>99</v>
      </c>
      <c r="C17" s="146">
        <v>480000</v>
      </c>
      <c r="D17" s="148"/>
      <c r="E17" s="151"/>
      <c r="F17" s="152"/>
    </row>
    <row r="18" spans="1:6">
      <c r="A18" s="143">
        <v>46106</v>
      </c>
      <c r="B18" s="147" t="s">
        <v>81</v>
      </c>
      <c r="C18" s="146">
        <v>10000</v>
      </c>
      <c r="D18" s="148"/>
      <c r="E18" s="151"/>
      <c r="F18" s="152"/>
    </row>
    <row r="19" spans="1:6">
      <c r="A19" s="143"/>
      <c r="B19" s="147"/>
      <c r="C19" s="153"/>
      <c r="D19" s="148"/>
      <c r="E19" s="151"/>
      <c r="F19" s="154"/>
    </row>
    <row r="20" spans="1:6">
      <c r="A20" s="143"/>
      <c r="B20" s="147"/>
      <c r="C20" s="145"/>
      <c r="D20" s="148"/>
      <c r="E20" s="151"/>
      <c r="F20" s="152"/>
    </row>
    <row r="21" spans="1:6">
      <c r="A21" s="155"/>
      <c r="B21" s="138"/>
      <c r="C21" s="156"/>
      <c r="D21" s="148"/>
      <c r="E21" s="151"/>
      <c r="F21" s="152"/>
    </row>
    <row r="22" spans="1:6">
      <c r="A22" s="155"/>
      <c r="B22" s="138"/>
      <c r="C22" s="145"/>
      <c r="D22" s="148"/>
      <c r="E22" s="151"/>
      <c r="F22" s="151"/>
    </row>
    <row r="23" spans="1:6">
      <c r="A23" s="155"/>
      <c r="B23" s="148"/>
      <c r="C23" s="145"/>
      <c r="D23" s="157"/>
      <c r="E23" s="158"/>
      <c r="F23" s="151"/>
    </row>
    <row r="24" spans="1:6">
      <c r="A24" s="140"/>
      <c r="B24" s="148"/>
      <c r="C24" s="158"/>
      <c r="D24" s="157"/>
      <c r="E24" s="158"/>
      <c r="F24" s="158"/>
    </row>
  </sheetData>
  <mergeCells count="1">
    <mergeCell ref="A1:F5"/>
  </mergeCells>
  <pageMargins left="0.25" right="0.25" top="0.75" bottom="0.75" header="0.298611111111111" footer="0.298611111111111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view="pageLayout" zoomScale="68" zoomScaleNormal="100" workbookViewId="0">
      <selection activeCell="C8" sqref="C8"/>
    </sheetView>
  </sheetViews>
  <sheetFormatPr defaultColWidth="9.14285714285714" defaultRowHeight="15" outlineLevelCol="4"/>
  <cols>
    <col min="1" max="1" width="51.4285714285714" customWidth="1"/>
    <col min="3" max="3" width="11.9142857142857" customWidth="1"/>
    <col min="4" max="4" width="4.28571428571429" customWidth="1"/>
    <col min="5" max="5" width="12.7142857142857" customWidth="1"/>
  </cols>
  <sheetData>
    <row r="1" spans="1:5">
      <c r="A1" s="123" t="s">
        <v>100</v>
      </c>
      <c r="B1" s="123"/>
      <c r="C1" s="123"/>
      <c r="D1" s="123"/>
      <c r="E1" s="123"/>
    </row>
    <row r="2" spans="1:5">
      <c r="A2" s="123"/>
      <c r="B2" s="123"/>
      <c r="C2" s="123"/>
      <c r="D2" s="123"/>
      <c r="E2" s="123"/>
    </row>
    <row r="3" spans="1:5">
      <c r="A3" s="123"/>
      <c r="B3" s="123"/>
      <c r="C3" s="123"/>
      <c r="D3" s="123"/>
      <c r="E3" s="123"/>
    </row>
    <row r="4" spans="1:5">
      <c r="A4" s="123"/>
      <c r="B4" s="123"/>
      <c r="C4" s="123"/>
      <c r="D4" s="123"/>
      <c r="E4" s="123"/>
    </row>
    <row r="5" spans="1:5">
      <c r="A5" s="123"/>
      <c r="B5" s="123"/>
      <c r="C5" s="123"/>
      <c r="D5" s="123"/>
      <c r="E5" s="123"/>
    </row>
    <row r="6" spans="1:5">
      <c r="A6" s="123"/>
      <c r="B6" s="123"/>
      <c r="C6" s="123"/>
      <c r="D6" s="123"/>
      <c r="E6" s="123"/>
    </row>
    <row r="7" ht="18.75" spans="1:5">
      <c r="A7" s="124" t="s">
        <v>101</v>
      </c>
      <c r="B7" s="125"/>
      <c r="C7" s="125"/>
      <c r="D7" s="125"/>
      <c r="E7" s="126"/>
    </row>
    <row r="8" ht="18.75" spans="1:5">
      <c r="A8" s="127" t="s">
        <v>102</v>
      </c>
      <c r="B8" s="128" t="s">
        <v>103</v>
      </c>
      <c r="C8" s="129">
        <f>Stok!B3</f>
        <v>6646</v>
      </c>
      <c r="D8" s="127"/>
      <c r="E8" s="127"/>
    </row>
    <row r="9" ht="18.75" spans="1:5">
      <c r="A9" s="127" t="s">
        <v>104</v>
      </c>
      <c r="B9" s="128" t="s">
        <v>103</v>
      </c>
      <c r="C9" s="127">
        <f>Stok!C34</f>
        <v>30000</v>
      </c>
      <c r="D9" s="127"/>
      <c r="E9" s="127"/>
    </row>
    <row r="10" ht="18.75" spans="1:5">
      <c r="A10" s="128" t="s">
        <v>105</v>
      </c>
      <c r="B10" s="128"/>
      <c r="C10" s="128"/>
      <c r="D10" s="128" t="s">
        <v>103</v>
      </c>
      <c r="E10" s="129">
        <f>SUM(C8:C9)</f>
        <v>36646</v>
      </c>
    </row>
    <row r="11" ht="18.75" spans="1:5">
      <c r="A11" s="127"/>
      <c r="B11" s="127"/>
      <c r="C11" s="127"/>
      <c r="D11" s="127"/>
      <c r="E11" s="127"/>
    </row>
    <row r="12" ht="18.75" spans="1:5">
      <c r="A12" s="127" t="s">
        <v>106</v>
      </c>
      <c r="B12" s="128" t="s">
        <v>103</v>
      </c>
      <c r="C12" s="129">
        <f>Stok!E34</f>
        <v>31320</v>
      </c>
      <c r="D12" s="127"/>
      <c r="E12" s="127"/>
    </row>
    <row r="13" ht="18.75" spans="1:5">
      <c r="A13" s="127" t="s">
        <v>107</v>
      </c>
      <c r="B13" s="128" t="s">
        <v>103</v>
      </c>
      <c r="C13" s="127">
        <f>Stok!G33</f>
        <v>0</v>
      </c>
      <c r="D13" s="127"/>
      <c r="E13" s="127"/>
    </row>
    <row r="14" ht="18.75" spans="1:5">
      <c r="A14" s="127" t="s">
        <v>108</v>
      </c>
      <c r="B14" s="127"/>
      <c r="C14" s="127"/>
      <c r="D14" s="128" t="s">
        <v>103</v>
      </c>
      <c r="E14" s="130">
        <f>SUM(C12:C13)</f>
        <v>31320</v>
      </c>
    </row>
    <row r="15" ht="18.75" spans="1:5">
      <c r="A15" s="127"/>
      <c r="B15" s="127"/>
      <c r="C15" s="127"/>
      <c r="D15" s="128"/>
      <c r="E15" s="127"/>
    </row>
    <row r="16" ht="18.75" spans="1:5">
      <c r="A16" s="128" t="s">
        <v>109</v>
      </c>
      <c r="B16" s="128"/>
      <c r="C16" s="128"/>
      <c r="D16" s="128" t="s">
        <v>103</v>
      </c>
      <c r="E16" s="130">
        <f>E10-E14</f>
        <v>5326</v>
      </c>
    </row>
    <row r="17" ht="18.75" spans="1:5">
      <c r="A17" s="128" t="s">
        <v>110</v>
      </c>
      <c r="B17" s="128"/>
      <c r="C17" s="128"/>
      <c r="D17" s="128" t="s">
        <v>103</v>
      </c>
      <c r="E17" s="131">
        <f>(E16/C12)*100</f>
        <v>17.0051085568327</v>
      </c>
    </row>
    <row r="18" ht="18.75" spans="1:5">
      <c r="A18" s="132" t="s">
        <v>111</v>
      </c>
      <c r="B18" s="133"/>
      <c r="C18" s="133"/>
      <c r="D18" s="133"/>
      <c r="E18" s="134"/>
    </row>
    <row r="19" ht="18.75" spans="1:5">
      <c r="A19" s="127" t="s">
        <v>102</v>
      </c>
      <c r="B19" s="128" t="s">
        <v>103</v>
      </c>
      <c r="C19" s="129">
        <f>Stok!B37</f>
        <v>6158</v>
      </c>
      <c r="D19" s="127"/>
      <c r="E19" s="127"/>
    </row>
    <row r="20" ht="18.75" spans="1:5">
      <c r="A20" s="127" t="s">
        <v>104</v>
      </c>
      <c r="B20" s="128" t="s">
        <v>103</v>
      </c>
      <c r="C20" s="127">
        <f>Stok!C68</f>
        <v>0</v>
      </c>
      <c r="D20" s="127"/>
      <c r="E20" s="127"/>
    </row>
    <row r="21" ht="18.75" spans="1:5">
      <c r="A21" s="128" t="s">
        <v>105</v>
      </c>
      <c r="B21" s="128"/>
      <c r="C21" s="128"/>
      <c r="D21" s="128" t="s">
        <v>103</v>
      </c>
      <c r="E21" s="129">
        <f>SUM(C19:C20)</f>
        <v>6158</v>
      </c>
    </row>
    <row r="22" ht="18.75" spans="1:5">
      <c r="A22" s="127"/>
      <c r="B22" s="127"/>
      <c r="C22" s="127"/>
      <c r="D22" s="127"/>
      <c r="E22" s="127"/>
    </row>
    <row r="23" ht="18.75" spans="1:5">
      <c r="A23" s="127" t="s">
        <v>106</v>
      </c>
      <c r="B23" s="128" t="s">
        <v>103</v>
      </c>
      <c r="C23" s="129">
        <f>Stok!E68</f>
        <v>1044</v>
      </c>
      <c r="D23" s="127"/>
      <c r="E23" s="127"/>
    </row>
    <row r="24" ht="18.75" spans="1:5">
      <c r="A24" s="127" t="s">
        <v>107</v>
      </c>
      <c r="B24" s="128" t="s">
        <v>103</v>
      </c>
      <c r="C24" s="127">
        <f>Stok!G61</f>
        <v>5234</v>
      </c>
      <c r="D24" s="127"/>
      <c r="E24" s="127"/>
    </row>
    <row r="25" ht="18.75" spans="1:5">
      <c r="A25" s="128" t="s">
        <v>108</v>
      </c>
      <c r="B25" s="128"/>
      <c r="C25" s="128"/>
      <c r="D25" s="128" t="s">
        <v>103</v>
      </c>
      <c r="E25" s="129">
        <f>SUM(C23:C24)</f>
        <v>6278</v>
      </c>
    </row>
    <row r="26" ht="18.75" spans="1:5">
      <c r="A26" s="127"/>
      <c r="B26" s="127"/>
      <c r="C26" s="127"/>
      <c r="D26" s="128"/>
      <c r="E26" s="127"/>
    </row>
    <row r="27" ht="18.75" spans="1:5">
      <c r="A27" s="128" t="s">
        <v>109</v>
      </c>
      <c r="B27" s="128"/>
      <c r="C27" s="128"/>
      <c r="D27" s="128" t="s">
        <v>103</v>
      </c>
      <c r="E27" s="130">
        <f>E21-E25</f>
        <v>-120</v>
      </c>
    </row>
    <row r="28" ht="18.75" spans="1:5">
      <c r="A28" s="128" t="s">
        <v>110</v>
      </c>
      <c r="B28" s="128"/>
      <c r="C28" s="128"/>
      <c r="D28" s="128" t="s">
        <v>103</v>
      </c>
      <c r="E28" s="135">
        <f>(C24/E27)*100</f>
        <v>-4361.66666666667</v>
      </c>
    </row>
  </sheetData>
  <mergeCells count="3">
    <mergeCell ref="A7:E7"/>
    <mergeCell ref="A18:E18"/>
    <mergeCell ref="A1:E6"/>
  </mergeCell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view="pageLayout" zoomScale="83" zoomScaleNormal="100" workbookViewId="0">
      <selection activeCell="B21" sqref="B21"/>
    </sheetView>
  </sheetViews>
  <sheetFormatPr defaultColWidth="9.14285714285714" defaultRowHeight="15"/>
  <cols>
    <col min="2" max="2" width="14.3238095238095" customWidth="1"/>
    <col min="3" max="3" width="17" customWidth="1"/>
    <col min="4" max="4" width="14.3238095238095" customWidth="1"/>
    <col min="5" max="5" width="9.42857142857143"/>
    <col min="7" max="8" width="13.7904761904762" customWidth="1"/>
    <col min="9" max="9" width="17.9428571428571" customWidth="1"/>
  </cols>
  <sheetData>
    <row r="1" spans="1:9">
      <c r="A1" s="3" t="s">
        <v>112</v>
      </c>
      <c r="B1" s="3"/>
      <c r="C1" s="3"/>
      <c r="D1" s="3"/>
      <c r="E1" s="3"/>
      <c r="F1" s="3"/>
      <c r="G1" s="3"/>
      <c r="H1" s="3"/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73" t="s">
        <v>113</v>
      </c>
      <c r="B7" s="73" t="s">
        <v>114</v>
      </c>
      <c r="C7" s="73" t="s">
        <v>14</v>
      </c>
      <c r="D7" s="73" t="s">
        <v>13</v>
      </c>
      <c r="E7" s="73" t="s">
        <v>15</v>
      </c>
      <c r="F7" s="73" t="s">
        <v>115</v>
      </c>
      <c r="G7" s="74" t="s">
        <v>116</v>
      </c>
      <c r="H7" s="73" t="s">
        <v>17</v>
      </c>
      <c r="I7" s="73" t="s">
        <v>18</v>
      </c>
    </row>
    <row r="8" spans="1:9">
      <c r="A8" s="75" t="s">
        <v>29</v>
      </c>
      <c r="B8" s="76">
        <v>1</v>
      </c>
      <c r="C8" s="77"/>
      <c r="D8" s="77">
        <f>Harian!C12</f>
        <v>30685</v>
      </c>
      <c r="E8" s="78">
        <f t="shared" ref="E8:E11" si="0">C8-D8</f>
        <v>-30685</v>
      </c>
      <c r="F8" s="75">
        <v>0</v>
      </c>
      <c r="G8" s="79">
        <f>E8+E9-F8</f>
        <v>-62557</v>
      </c>
      <c r="H8" s="80">
        <v>12200</v>
      </c>
      <c r="I8" s="80">
        <f>G8*H8</f>
        <v>-763195400</v>
      </c>
    </row>
    <row r="9" spans="1:9">
      <c r="A9" s="81"/>
      <c r="B9" s="76">
        <v>2</v>
      </c>
      <c r="C9" s="77"/>
      <c r="D9" s="77">
        <f>Harian!C13</f>
        <v>31872</v>
      </c>
      <c r="E9" s="78">
        <f t="shared" si="0"/>
        <v>-31872</v>
      </c>
      <c r="F9" s="81"/>
      <c r="G9" s="82"/>
      <c r="H9" s="83"/>
      <c r="I9" s="83"/>
    </row>
    <row r="10" spans="1:9">
      <c r="A10" s="84" t="s">
        <v>70</v>
      </c>
      <c r="B10" s="85">
        <v>1</v>
      </c>
      <c r="C10" s="86"/>
      <c r="D10" s="86">
        <f>Harian!C14</f>
        <v>6601</v>
      </c>
      <c r="E10" s="87">
        <f t="shared" si="0"/>
        <v>-6601</v>
      </c>
      <c r="F10" s="84">
        <v>0</v>
      </c>
      <c r="G10" s="88">
        <f>E10+E11-F10</f>
        <v>-13210</v>
      </c>
      <c r="H10" s="89">
        <v>14500</v>
      </c>
      <c r="I10" s="89">
        <f>G10*H10</f>
        <v>-191545000</v>
      </c>
    </row>
    <row r="11" spans="1:9">
      <c r="A11" s="90"/>
      <c r="B11" s="85">
        <v>2</v>
      </c>
      <c r="C11" s="86"/>
      <c r="D11" s="86">
        <f>Harian!C15</f>
        <v>6609</v>
      </c>
      <c r="E11" s="87">
        <f t="shared" si="0"/>
        <v>-6609</v>
      </c>
      <c r="F11" s="90"/>
      <c r="G11" s="91"/>
      <c r="H11" s="92"/>
      <c r="I11" s="92"/>
    </row>
    <row r="12" spans="1:9">
      <c r="A12" s="15"/>
      <c r="B12" s="15"/>
      <c r="C12" s="15"/>
      <c r="D12" s="15"/>
      <c r="E12" s="15"/>
      <c r="F12" s="15"/>
      <c r="G12" s="93" t="s">
        <v>117</v>
      </c>
      <c r="H12" s="94"/>
      <c r="I12" s="95">
        <f>SUM(I8:I11)</f>
        <v>-954740400</v>
      </c>
    </row>
    <row r="13" spans="1:9">
      <c r="A13" s="15"/>
      <c r="B13" s="15"/>
      <c r="C13" s="15"/>
      <c r="E13" s="14" t="s">
        <v>118</v>
      </c>
      <c r="F13" s="15"/>
      <c r="G13" s="15"/>
      <c r="H13" s="15"/>
      <c r="I13" s="15"/>
    </row>
    <row r="14" spans="1:9">
      <c r="A14" s="15"/>
      <c r="B14" s="15"/>
      <c r="C14" s="15"/>
      <c r="E14" s="96" t="s">
        <v>29</v>
      </c>
      <c r="F14" s="97">
        <f>G8</f>
        <v>-62557</v>
      </c>
      <c r="G14" s="77" t="s">
        <v>119</v>
      </c>
      <c r="H14" s="77">
        <v>600</v>
      </c>
      <c r="I14" s="98">
        <f>F14*H14</f>
        <v>-37534200</v>
      </c>
    </row>
    <row r="15" spans="1:9">
      <c r="A15" s="15"/>
      <c r="B15" s="15"/>
      <c r="C15" s="15"/>
      <c r="E15" s="99" t="s">
        <v>70</v>
      </c>
      <c r="F15" s="100">
        <f>G10</f>
        <v>-13210</v>
      </c>
      <c r="G15" s="86" t="s">
        <v>119</v>
      </c>
      <c r="H15" s="86">
        <v>600</v>
      </c>
      <c r="I15" s="101">
        <f>F15*H15</f>
        <v>-7926000</v>
      </c>
    </row>
    <row r="16" spans="1:9">
      <c r="A16" s="15"/>
      <c r="B16" s="15"/>
      <c r="C16" s="15"/>
      <c r="D16" s="15"/>
      <c r="E16" s="15"/>
      <c r="F16" s="15"/>
      <c r="G16" s="15"/>
      <c r="H16" s="15" t="s">
        <v>18</v>
      </c>
      <c r="I16" s="102">
        <f>SUM(I14:I15)</f>
        <v>-45460200</v>
      </c>
    </row>
    <row r="17" spans="1:9">
      <c r="A17" s="103" t="s">
        <v>27</v>
      </c>
      <c r="B17" s="15"/>
      <c r="C17" s="15"/>
      <c r="D17" s="15"/>
      <c r="E17" s="15"/>
      <c r="F17" s="15"/>
      <c r="G17" s="15"/>
      <c r="H17" s="15"/>
      <c r="I17" s="104"/>
    </row>
    <row r="18" spans="1:9">
      <c r="A18" s="105">
        <v>1</v>
      </c>
      <c r="B18" s="106" t="s">
        <v>120</v>
      </c>
      <c r="C18" s="107"/>
      <c r="D18" s="104"/>
      <c r="E18" s="108"/>
      <c r="F18" s="108"/>
      <c r="I18" s="104"/>
    </row>
    <row r="19" spans="1:9">
      <c r="A19" s="105">
        <v>2</v>
      </c>
      <c r="B19" s="106" t="s">
        <v>121</v>
      </c>
      <c r="C19" s="107"/>
      <c r="D19" s="104"/>
      <c r="E19" s="108"/>
      <c r="F19" s="108"/>
      <c r="I19" s="104"/>
    </row>
    <row r="20" spans="1:9">
      <c r="A20" s="105">
        <v>3</v>
      </c>
      <c r="B20" s="106" t="s">
        <v>122</v>
      </c>
      <c r="C20" s="107"/>
      <c r="D20" s="104"/>
      <c r="E20" s="108"/>
      <c r="F20" s="108"/>
      <c r="I20" s="104"/>
    </row>
    <row r="21" spans="1:9">
      <c r="A21" s="105">
        <v>4</v>
      </c>
      <c r="B21" s="103" t="s">
        <v>123</v>
      </c>
      <c r="C21" s="107"/>
      <c r="D21" s="104"/>
      <c r="E21" s="108"/>
      <c r="F21" s="108"/>
      <c r="G21" s="109"/>
      <c r="H21" s="110"/>
      <c r="I21" s="111"/>
    </row>
    <row r="22" spans="1:9">
      <c r="A22" s="105"/>
      <c r="B22" s="112"/>
      <c r="C22" s="113"/>
      <c r="E22" s="108"/>
      <c r="F22" s="108"/>
      <c r="G22" s="109"/>
      <c r="H22" s="110"/>
      <c r="I22" s="111"/>
    </row>
    <row r="23" spans="1:9">
      <c r="A23" s="15"/>
      <c r="B23" s="15" t="s">
        <v>18</v>
      </c>
      <c r="C23" s="114">
        <f>SUM(C18:C22)</f>
        <v>0</v>
      </c>
      <c r="D23" s="15"/>
      <c r="E23" s="15"/>
      <c r="F23" s="15"/>
      <c r="G23" s="109"/>
      <c r="H23" s="110"/>
      <c r="I23" s="111"/>
    </row>
    <row r="24" spans="1:9">
      <c r="A24" s="15"/>
      <c r="B24" s="15"/>
      <c r="C24" s="15"/>
      <c r="D24" s="15"/>
      <c r="E24" s="15"/>
      <c r="F24" s="15"/>
      <c r="G24" s="15"/>
      <c r="H24" s="15"/>
      <c r="I24" s="104"/>
    </row>
    <row r="25" spans="1:9">
      <c r="A25" s="103" t="s">
        <v>124</v>
      </c>
      <c r="B25" s="15"/>
      <c r="C25" s="15"/>
      <c r="D25" s="15"/>
      <c r="E25" s="15"/>
      <c r="F25" s="15"/>
      <c r="G25" s="15"/>
      <c r="H25" s="15"/>
      <c r="I25" s="104"/>
    </row>
    <row r="26" spans="1:9">
      <c r="A26" s="105">
        <v>1</v>
      </c>
      <c r="B26" s="103" t="str">
        <f>E14</f>
        <v>Pertamax</v>
      </c>
      <c r="C26" s="115">
        <f>losis!E16</f>
        <v>5326</v>
      </c>
      <c r="D26" s="116" t="s">
        <v>125</v>
      </c>
      <c r="E26" s="117">
        <v>11600</v>
      </c>
      <c r="F26" s="117"/>
      <c r="G26" s="118">
        <f>C26*E26</f>
        <v>61781600</v>
      </c>
      <c r="H26" s="119">
        <f>losis!E17</f>
        <v>17.0051085568327</v>
      </c>
      <c r="I26" s="104"/>
    </row>
    <row r="27" spans="1:9">
      <c r="A27" s="105">
        <v>2</v>
      </c>
      <c r="B27" s="103" t="str">
        <f>E15</f>
        <v>Dex</v>
      </c>
      <c r="C27" s="115">
        <f>losis!E27</f>
        <v>-120</v>
      </c>
      <c r="D27" s="116" t="s">
        <v>125</v>
      </c>
      <c r="E27" s="117">
        <v>13900</v>
      </c>
      <c r="F27" s="117"/>
      <c r="G27" s="118">
        <f>E27*C27</f>
        <v>-1668000</v>
      </c>
      <c r="H27" s="119">
        <f>losis!E28</f>
        <v>-4361.66666666667</v>
      </c>
      <c r="I27" s="104"/>
    </row>
    <row r="28" spans="1:9">
      <c r="A28" s="15"/>
      <c r="B28" s="15"/>
      <c r="C28" s="15"/>
      <c r="D28" s="15"/>
      <c r="E28" s="15"/>
      <c r="F28" s="15"/>
      <c r="G28" s="15"/>
      <c r="H28" s="120">
        <f>SUM(G26:G27)</f>
        <v>60113600</v>
      </c>
      <c r="I28" s="104"/>
    </row>
    <row r="29" spans="1:9">
      <c r="A29" s="15"/>
      <c r="B29" s="15"/>
      <c r="C29" s="15"/>
      <c r="E29" s="121"/>
      <c r="F29" s="121"/>
      <c r="G29" s="121" t="s">
        <v>126</v>
      </c>
      <c r="H29" s="15"/>
      <c r="I29" s="122">
        <f>SUM(C23,H28)</f>
        <v>60113600</v>
      </c>
    </row>
    <row r="30" spans="1:9">
      <c r="A30" s="15"/>
      <c r="B30" s="15"/>
      <c r="C30" s="15"/>
      <c r="E30" s="121"/>
      <c r="F30" s="121"/>
      <c r="G30" s="121" t="s">
        <v>127</v>
      </c>
      <c r="H30" s="15"/>
      <c r="I30" s="120">
        <f>I16-I29</f>
        <v>-105573800</v>
      </c>
    </row>
  </sheetData>
  <mergeCells count="11">
    <mergeCell ref="A8:A9"/>
    <mergeCell ref="A10:A11"/>
    <mergeCell ref="F8:F9"/>
    <mergeCell ref="F10:F11"/>
    <mergeCell ref="G8:G9"/>
    <mergeCell ref="G10:G11"/>
    <mergeCell ref="H8:H9"/>
    <mergeCell ref="H10:H11"/>
    <mergeCell ref="I8:I9"/>
    <mergeCell ref="I10:I11"/>
    <mergeCell ref="A1:I6"/>
  </mergeCells>
  <pageMargins left="0.75" right="0.75" top="1" bottom="1" header="0.5" footer="0.5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view="pageLayout" zoomScaleNormal="100" topLeftCell="A38" workbookViewId="0">
      <selection activeCell="F57" sqref="F57"/>
    </sheetView>
  </sheetViews>
  <sheetFormatPr defaultColWidth="9.14285714285714" defaultRowHeight="15" outlineLevelCol="5"/>
  <cols>
    <col min="1" max="1" width="17.2761904761905" customWidth="1"/>
    <col min="4" max="5" width="12.9904761904762" customWidth="1"/>
    <col min="6" max="6" width="15.6666666666667" customWidth="1"/>
  </cols>
  <sheetData>
    <row r="1" ht="18.75" spans="1:6">
      <c r="A1" s="13"/>
      <c r="B1" s="57" t="s">
        <v>0</v>
      </c>
      <c r="C1" s="57"/>
      <c r="D1" s="57"/>
      <c r="E1" s="57"/>
      <c r="F1" s="58"/>
    </row>
    <row r="2" ht="18.75" spans="1:6">
      <c r="A2" s="59"/>
      <c r="B2" s="60" t="s">
        <v>128</v>
      </c>
      <c r="C2" s="60"/>
      <c r="D2" s="60"/>
      <c r="E2" s="60"/>
      <c r="F2" s="61"/>
    </row>
    <row r="3" ht="18.75" spans="1:6">
      <c r="A3" s="62"/>
      <c r="B3" s="63" t="s">
        <v>2</v>
      </c>
      <c r="C3" s="63"/>
      <c r="D3" s="63"/>
      <c r="E3" s="63"/>
      <c r="F3" s="64"/>
    </row>
    <row r="4" ht="15.75" spans="1:6">
      <c r="A4" s="62"/>
      <c r="B4" s="65"/>
      <c r="C4" s="66"/>
      <c r="D4" s="66"/>
      <c r="E4" s="66"/>
      <c r="F4" s="67"/>
    </row>
    <row r="5" ht="15.75" spans="1:6">
      <c r="A5" s="62"/>
      <c r="B5" s="65"/>
      <c r="C5" s="66"/>
      <c r="D5" s="66"/>
      <c r="E5" s="66"/>
      <c r="F5" s="68"/>
    </row>
    <row r="6" spans="1:6">
      <c r="A6" t="s">
        <v>129</v>
      </c>
      <c r="B6" s="69">
        <v>0.003</v>
      </c>
    </row>
    <row r="7" spans="1:6">
      <c r="A7" t="s">
        <v>74</v>
      </c>
      <c r="B7" s="69">
        <v>0.005</v>
      </c>
    </row>
    <row r="8" spans="1:6">
      <c r="A8" t="s">
        <v>62</v>
      </c>
      <c r="B8" t="s">
        <v>130</v>
      </c>
      <c r="C8" t="s">
        <v>131</v>
      </c>
      <c r="D8" t="s">
        <v>17</v>
      </c>
      <c r="E8" t="s">
        <v>132</v>
      </c>
      <c r="F8" t="s">
        <v>133</v>
      </c>
    </row>
    <row r="9" spans="1:6">
      <c r="A9" s="70">
        <v>46082</v>
      </c>
      <c r="B9" t="s">
        <v>129</v>
      </c>
      <c r="C9">
        <v>0.3</v>
      </c>
      <c r="D9" s="1">
        <v>107000</v>
      </c>
      <c r="E9" s="1">
        <f t="shared" ref="E9:E18" si="0">D9-D9*C9%</f>
        <v>106679</v>
      </c>
      <c r="F9" s="1">
        <f t="shared" ref="F9:F48" si="1">D9-E9</f>
        <v>321</v>
      </c>
    </row>
    <row r="10" spans="1:6">
      <c r="A10" s="70"/>
      <c r="B10" t="s">
        <v>74</v>
      </c>
      <c r="C10">
        <v>0.5</v>
      </c>
      <c r="D10" s="1">
        <v>300000</v>
      </c>
      <c r="E10" s="1">
        <f t="shared" si="0"/>
        <v>298500</v>
      </c>
      <c r="F10" s="1">
        <f t="shared" si="1"/>
        <v>1500</v>
      </c>
    </row>
    <row r="11" spans="1:6">
      <c r="A11" s="70">
        <v>46083</v>
      </c>
      <c r="B11" t="s">
        <v>129</v>
      </c>
      <c r="C11">
        <v>0.3</v>
      </c>
      <c r="D11" s="1">
        <v>343000</v>
      </c>
      <c r="E11" s="1">
        <f t="shared" si="0"/>
        <v>341971</v>
      </c>
      <c r="F11" s="1">
        <f t="shared" si="1"/>
        <v>1029</v>
      </c>
    </row>
    <row r="12" spans="1:6">
      <c r="A12" s="70"/>
      <c r="B12" t="s">
        <v>74</v>
      </c>
      <c r="C12">
        <v>0.5</v>
      </c>
      <c r="D12" s="1">
        <v>200000</v>
      </c>
      <c r="E12" s="1">
        <f t="shared" si="0"/>
        <v>199000</v>
      </c>
      <c r="F12" s="1">
        <f t="shared" si="1"/>
        <v>1000</v>
      </c>
    </row>
    <row r="13" spans="1:6">
      <c r="A13" s="70">
        <v>46084</v>
      </c>
      <c r="B13" t="s">
        <v>129</v>
      </c>
      <c r="C13">
        <v>0.3</v>
      </c>
      <c r="D13" s="1">
        <v>101000</v>
      </c>
      <c r="E13" s="1">
        <f t="shared" si="0"/>
        <v>100697</v>
      </c>
      <c r="F13" s="1">
        <f t="shared" si="1"/>
        <v>303</v>
      </c>
    </row>
    <row r="14" spans="1:6">
      <c r="A14" s="70"/>
      <c r="B14" t="s">
        <v>74</v>
      </c>
      <c r="C14">
        <v>0.5</v>
      </c>
      <c r="D14" s="1">
        <v>50000</v>
      </c>
      <c r="E14" s="1">
        <f t="shared" si="0"/>
        <v>49750</v>
      </c>
      <c r="F14" s="1">
        <f t="shared" si="1"/>
        <v>250</v>
      </c>
    </row>
    <row r="15" spans="1:6">
      <c r="A15" s="70">
        <v>46085</v>
      </c>
      <c r="B15" t="s">
        <v>129</v>
      </c>
      <c r="C15">
        <v>0.3</v>
      </c>
      <c r="D15" s="71">
        <v>213000</v>
      </c>
      <c r="E15" s="1">
        <f t="shared" si="0"/>
        <v>212361</v>
      </c>
      <c r="F15" s="1">
        <f t="shared" si="1"/>
        <v>639</v>
      </c>
    </row>
    <row r="16" spans="1:6">
      <c r="A16" s="70">
        <v>46086</v>
      </c>
      <c r="B16" t="s">
        <v>129</v>
      </c>
      <c r="C16">
        <v>0.3</v>
      </c>
      <c r="D16" s="1">
        <v>105000</v>
      </c>
      <c r="E16" s="1">
        <f t="shared" si="0"/>
        <v>104685</v>
      </c>
      <c r="F16" s="1">
        <f t="shared" si="1"/>
        <v>315</v>
      </c>
    </row>
    <row r="17" spans="1:6">
      <c r="A17" s="70">
        <v>46087</v>
      </c>
      <c r="B17" t="s">
        <v>129</v>
      </c>
      <c r="C17">
        <v>0.3</v>
      </c>
      <c r="D17" s="1">
        <v>159000</v>
      </c>
      <c r="E17" s="1">
        <f t="shared" si="0"/>
        <v>158523</v>
      </c>
      <c r="F17" s="1">
        <f t="shared" si="1"/>
        <v>477</v>
      </c>
    </row>
    <row r="18" spans="1:6">
      <c r="A18" s="70"/>
      <c r="B18" t="s">
        <v>74</v>
      </c>
      <c r="C18">
        <v>0.5</v>
      </c>
      <c r="D18" s="1">
        <v>20000</v>
      </c>
      <c r="E18" s="1">
        <f t="shared" si="0"/>
        <v>19900</v>
      </c>
      <c r="F18" s="1">
        <f t="shared" si="1"/>
        <v>100</v>
      </c>
    </row>
    <row r="19" spans="1:6">
      <c r="A19" s="70">
        <v>46088</v>
      </c>
      <c r="B19" t="s">
        <v>129</v>
      </c>
      <c r="C19">
        <v>0.3</v>
      </c>
      <c r="D19" s="1">
        <v>182294</v>
      </c>
      <c r="E19" s="1">
        <v>181747</v>
      </c>
      <c r="F19" s="1">
        <f t="shared" si="1"/>
        <v>547</v>
      </c>
    </row>
    <row r="20" spans="1:6">
      <c r="A20" s="70">
        <v>46089</v>
      </c>
      <c r="B20" t="s">
        <v>129</v>
      </c>
      <c r="C20">
        <v>0.3</v>
      </c>
      <c r="D20" s="1">
        <v>161400</v>
      </c>
      <c r="E20" s="1">
        <v>160916</v>
      </c>
      <c r="F20" s="1">
        <f t="shared" si="1"/>
        <v>484</v>
      </c>
    </row>
    <row r="21" spans="1:6">
      <c r="A21" s="70">
        <v>46090</v>
      </c>
      <c r="B21" t="s">
        <v>129</v>
      </c>
      <c r="C21">
        <v>0.3</v>
      </c>
      <c r="D21" s="1">
        <v>575000</v>
      </c>
      <c r="E21" s="1">
        <f t="shared" ref="E21:E48" si="2">D21-D21*C21%</f>
        <v>573275</v>
      </c>
      <c r="F21" s="1">
        <f t="shared" si="1"/>
        <v>1725</v>
      </c>
    </row>
    <row r="22" spans="1:6">
      <c r="A22" s="70">
        <v>46091</v>
      </c>
      <c r="B22" t="s">
        <v>129</v>
      </c>
      <c r="C22">
        <v>0.3</v>
      </c>
      <c r="D22" s="1">
        <v>216000</v>
      </c>
      <c r="E22" s="1">
        <f t="shared" si="2"/>
        <v>215352</v>
      </c>
      <c r="F22" s="1">
        <f t="shared" si="1"/>
        <v>648</v>
      </c>
    </row>
    <row r="23" spans="1:6">
      <c r="A23" s="70">
        <v>46092</v>
      </c>
      <c r="B23" t="s">
        <v>129</v>
      </c>
      <c r="C23">
        <v>0.3</v>
      </c>
      <c r="D23" s="1">
        <v>475000</v>
      </c>
      <c r="E23" s="1">
        <f t="shared" si="2"/>
        <v>473575</v>
      </c>
      <c r="F23" s="1">
        <f t="shared" si="1"/>
        <v>1425</v>
      </c>
    </row>
    <row r="24" spans="1:6">
      <c r="A24" s="70">
        <v>46093</v>
      </c>
      <c r="B24" t="s">
        <v>74</v>
      </c>
      <c r="C24">
        <v>0.5</v>
      </c>
      <c r="D24" s="1">
        <v>250000</v>
      </c>
      <c r="E24" s="1">
        <f t="shared" si="2"/>
        <v>248750</v>
      </c>
      <c r="F24" s="1">
        <f t="shared" si="1"/>
        <v>1250</v>
      </c>
    </row>
    <row r="25" spans="1:6">
      <c r="A25" s="70"/>
      <c r="B25" t="s">
        <v>129</v>
      </c>
      <c r="C25">
        <v>0.3</v>
      </c>
      <c r="D25" s="1">
        <v>300000</v>
      </c>
      <c r="E25" s="1">
        <f t="shared" si="2"/>
        <v>299100</v>
      </c>
      <c r="F25" s="1">
        <f t="shared" si="1"/>
        <v>900</v>
      </c>
    </row>
    <row r="26" spans="1:6">
      <c r="A26" s="70">
        <v>46094</v>
      </c>
      <c r="B26" t="s">
        <v>129</v>
      </c>
      <c r="C26">
        <v>0.3</v>
      </c>
      <c r="D26" s="1">
        <v>72000</v>
      </c>
      <c r="E26" s="1">
        <f t="shared" si="2"/>
        <v>71784</v>
      </c>
      <c r="F26" s="1">
        <f t="shared" si="1"/>
        <v>216</v>
      </c>
    </row>
    <row r="27" spans="1:6">
      <c r="A27" s="70">
        <v>46095</v>
      </c>
      <c r="B27" t="s">
        <v>129</v>
      </c>
      <c r="C27">
        <v>0.3</v>
      </c>
      <c r="D27" s="1">
        <v>662000</v>
      </c>
      <c r="E27" s="1">
        <f t="shared" si="2"/>
        <v>660014</v>
      </c>
      <c r="F27" s="1">
        <f t="shared" si="1"/>
        <v>1986</v>
      </c>
    </row>
    <row r="28" spans="1:6">
      <c r="A28" s="70">
        <v>46096</v>
      </c>
      <c r="B28" t="s">
        <v>129</v>
      </c>
      <c r="C28">
        <v>0.3</v>
      </c>
      <c r="D28" s="1">
        <v>88200</v>
      </c>
      <c r="E28" s="1">
        <f t="shared" si="2"/>
        <v>87935.4</v>
      </c>
      <c r="F28" s="1">
        <f t="shared" si="1"/>
        <v>264.600000000006</v>
      </c>
    </row>
    <row r="29" spans="1:6">
      <c r="B29" t="s">
        <v>74</v>
      </c>
      <c r="C29">
        <v>0.5</v>
      </c>
      <c r="D29" s="1">
        <v>300000</v>
      </c>
      <c r="E29" s="1">
        <f t="shared" si="2"/>
        <v>298500</v>
      </c>
      <c r="F29" s="1">
        <f t="shared" si="1"/>
        <v>1500</v>
      </c>
    </row>
    <row r="30" spans="1:6">
      <c r="A30" s="70">
        <v>46097</v>
      </c>
      <c r="B30" t="s">
        <v>129</v>
      </c>
      <c r="C30">
        <v>0.3</v>
      </c>
      <c r="D30" s="1">
        <v>472026</v>
      </c>
      <c r="E30" s="1">
        <f t="shared" si="2"/>
        <v>470609.922</v>
      </c>
      <c r="F30" s="1">
        <f t="shared" si="1"/>
        <v>1416.07799999998</v>
      </c>
    </row>
    <row r="31" spans="1:6">
      <c r="B31" t="s">
        <v>74</v>
      </c>
      <c r="C31">
        <v>0.5</v>
      </c>
      <c r="D31" s="1">
        <v>30000</v>
      </c>
      <c r="E31" s="1">
        <f t="shared" si="2"/>
        <v>29850</v>
      </c>
      <c r="F31" s="1">
        <f t="shared" si="1"/>
        <v>150</v>
      </c>
    </row>
    <row r="32" spans="1:6">
      <c r="A32" s="70">
        <v>46098</v>
      </c>
      <c r="B32" t="s">
        <v>129</v>
      </c>
      <c r="C32">
        <v>0.3</v>
      </c>
      <c r="D32" s="1">
        <v>185000</v>
      </c>
      <c r="E32" s="1">
        <f t="shared" si="2"/>
        <v>184445</v>
      </c>
      <c r="F32" s="1">
        <f t="shared" si="1"/>
        <v>555</v>
      </c>
    </row>
    <row r="33" spans="1:6">
      <c r="B33" t="s">
        <v>74</v>
      </c>
      <c r="C33">
        <v>0.5</v>
      </c>
      <c r="D33" s="1">
        <v>200000</v>
      </c>
      <c r="E33" s="1">
        <f t="shared" si="2"/>
        <v>199000</v>
      </c>
      <c r="F33" s="1">
        <f t="shared" si="1"/>
        <v>1000</v>
      </c>
    </row>
    <row r="34" spans="1:6">
      <c r="A34" s="70">
        <v>46099</v>
      </c>
      <c r="B34" t="s">
        <v>129</v>
      </c>
      <c r="C34">
        <v>0.3</v>
      </c>
      <c r="D34" s="1">
        <v>400000</v>
      </c>
      <c r="E34" s="1">
        <f t="shared" si="2"/>
        <v>398800</v>
      </c>
      <c r="F34" s="1">
        <f t="shared" si="1"/>
        <v>1200</v>
      </c>
    </row>
    <row r="35" spans="1:6">
      <c r="A35" s="70">
        <v>46100</v>
      </c>
      <c r="B35" t="s">
        <v>129</v>
      </c>
      <c r="C35">
        <v>0.3</v>
      </c>
      <c r="D35" s="1">
        <v>283800</v>
      </c>
      <c r="E35" s="1">
        <f t="shared" si="2"/>
        <v>282948.6</v>
      </c>
      <c r="F35" s="1">
        <f t="shared" si="1"/>
        <v>851.400000000023</v>
      </c>
    </row>
    <row r="36" spans="1:6">
      <c r="A36" s="70">
        <v>46101</v>
      </c>
      <c r="B36" t="s">
        <v>129</v>
      </c>
      <c r="C36">
        <v>0.3</v>
      </c>
      <c r="D36" s="1">
        <v>469000</v>
      </c>
      <c r="E36" s="1">
        <f t="shared" si="2"/>
        <v>467593</v>
      </c>
      <c r="F36" s="1">
        <f t="shared" si="1"/>
        <v>1407</v>
      </c>
    </row>
    <row r="37" spans="1:6">
      <c r="B37" t="s">
        <v>74</v>
      </c>
      <c r="C37">
        <v>0.5</v>
      </c>
      <c r="D37" s="1">
        <v>300000</v>
      </c>
      <c r="E37" s="1">
        <f t="shared" si="2"/>
        <v>298500</v>
      </c>
      <c r="F37" s="1">
        <f t="shared" si="1"/>
        <v>1500</v>
      </c>
    </row>
    <row r="38" spans="1:6">
      <c r="A38" s="70">
        <v>46102</v>
      </c>
      <c r="B38" t="s">
        <v>129</v>
      </c>
      <c r="C38">
        <v>0.3</v>
      </c>
      <c r="D38" s="1">
        <v>721924</v>
      </c>
      <c r="E38" s="1">
        <f t="shared" si="2"/>
        <v>719758.228</v>
      </c>
      <c r="F38" s="1">
        <f t="shared" si="1"/>
        <v>2165.772</v>
      </c>
    </row>
    <row r="39" spans="1:6">
      <c r="B39" t="s">
        <v>74</v>
      </c>
      <c r="C39">
        <v>0.5</v>
      </c>
      <c r="D39" s="1">
        <v>338500</v>
      </c>
      <c r="E39" s="1">
        <f t="shared" si="2"/>
        <v>336807.5</v>
      </c>
      <c r="F39" s="1">
        <f t="shared" si="1"/>
        <v>1692.5</v>
      </c>
    </row>
    <row r="40" spans="1:6">
      <c r="A40" s="70">
        <v>46103</v>
      </c>
      <c r="B40" t="s">
        <v>129</v>
      </c>
      <c r="C40">
        <v>0.3</v>
      </c>
      <c r="D40" s="1">
        <v>298500</v>
      </c>
      <c r="E40" s="1">
        <f t="shared" si="2"/>
        <v>297604.5</v>
      </c>
      <c r="F40" s="1">
        <f t="shared" si="1"/>
        <v>895.5</v>
      </c>
    </row>
    <row r="41" spans="1:6">
      <c r="A41" s="72"/>
      <c r="B41" t="s">
        <v>74</v>
      </c>
      <c r="C41">
        <v>0.5</v>
      </c>
      <c r="D41" s="1">
        <v>351500</v>
      </c>
      <c r="E41" s="1">
        <f t="shared" si="2"/>
        <v>349742.5</v>
      </c>
      <c r="F41" s="1">
        <f t="shared" si="1"/>
        <v>1757.5</v>
      </c>
    </row>
    <row r="42" spans="1:6">
      <c r="A42" s="70">
        <v>46104</v>
      </c>
      <c r="B42" t="s">
        <v>129</v>
      </c>
      <c r="C42">
        <v>0.3</v>
      </c>
      <c r="D42" s="1">
        <v>658000</v>
      </c>
      <c r="E42" s="1">
        <f t="shared" si="2"/>
        <v>656026</v>
      </c>
      <c r="F42" s="1">
        <f t="shared" si="1"/>
        <v>1974</v>
      </c>
    </row>
    <row r="43" spans="1:6">
      <c r="A43" s="72"/>
      <c r="B43" t="s">
        <v>74</v>
      </c>
      <c r="C43">
        <v>0.5</v>
      </c>
      <c r="D43" s="1">
        <v>1185000</v>
      </c>
      <c r="E43" s="1">
        <f t="shared" si="2"/>
        <v>1179075</v>
      </c>
      <c r="F43" s="1">
        <f t="shared" si="1"/>
        <v>5925</v>
      </c>
    </row>
    <row r="44" spans="1:6">
      <c r="A44" s="70">
        <v>46105</v>
      </c>
      <c r="B44" t="s">
        <v>129</v>
      </c>
      <c r="C44">
        <v>0.3</v>
      </c>
      <c r="D44" s="1">
        <v>942000</v>
      </c>
      <c r="E44" s="1">
        <f t="shared" si="2"/>
        <v>939174</v>
      </c>
      <c r="F44" s="1">
        <f t="shared" si="1"/>
        <v>2826</v>
      </c>
    </row>
    <row r="45" spans="1:6">
      <c r="A45" s="70">
        <v>46106</v>
      </c>
      <c r="B45" t="s">
        <v>129</v>
      </c>
      <c r="C45">
        <v>0.3</v>
      </c>
      <c r="D45" s="1">
        <v>160000</v>
      </c>
      <c r="E45" s="1">
        <f t="shared" si="2"/>
        <v>159520</v>
      </c>
      <c r="F45" s="1">
        <f t="shared" si="1"/>
        <v>480</v>
      </c>
    </row>
    <row r="46" spans="1:6">
      <c r="B46" t="s">
        <v>74</v>
      </c>
      <c r="C46">
        <v>0.5</v>
      </c>
      <c r="D46" s="1">
        <v>558500</v>
      </c>
      <c r="E46" s="1">
        <f t="shared" si="2"/>
        <v>555707.5</v>
      </c>
      <c r="F46" s="1">
        <f t="shared" si="1"/>
        <v>2792.5</v>
      </c>
    </row>
    <row r="47" spans="1:6">
      <c r="A47" s="70">
        <v>46107</v>
      </c>
      <c r="B47" t="s">
        <v>129</v>
      </c>
      <c r="C47">
        <v>0.3</v>
      </c>
      <c r="D47" s="1">
        <v>727500</v>
      </c>
      <c r="E47" s="1">
        <f t="shared" si="2"/>
        <v>725317.5</v>
      </c>
      <c r="F47" s="1">
        <f t="shared" si="1"/>
        <v>2182.5</v>
      </c>
    </row>
    <row r="48" spans="1:6">
      <c r="B48" t="s">
        <v>74</v>
      </c>
      <c r="C48">
        <v>0.5</v>
      </c>
      <c r="D48" s="1">
        <v>120000</v>
      </c>
      <c r="E48" s="1">
        <f t="shared" si="2"/>
        <v>119400</v>
      </c>
      <c r="F48" s="1">
        <f t="shared" si="1"/>
        <v>600</v>
      </c>
    </row>
    <row r="49" spans="4:6">
      <c r="D49" s="1"/>
      <c r="E49" s="1"/>
      <c r="F49" s="1"/>
    </row>
    <row r="50" spans="4:6">
      <c r="D50" s="1"/>
      <c r="E50" s="1"/>
      <c r="F50" s="1"/>
    </row>
    <row r="51" spans="4:6">
      <c r="D51" s="1"/>
      <c r="E51" s="1"/>
      <c r="F51" s="1"/>
    </row>
  </sheetData>
  <mergeCells count="3">
    <mergeCell ref="B1:E1"/>
    <mergeCell ref="B2:E2"/>
    <mergeCell ref="B3:E3"/>
  </mergeCells>
  <pageMargins left="0.75" right="0.75" top="1" bottom="1" header="0.5" footer="0.5"/>
  <pageSetup paperSize="1" orientation="portrait"/>
  <headerFooter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view="pageLayout" zoomScaleNormal="100" workbookViewId="0">
      <selection activeCell="D16" sqref="D16"/>
    </sheetView>
  </sheetViews>
  <sheetFormatPr defaultColWidth="9.14285714285714" defaultRowHeight="15" outlineLevelCol="7"/>
  <cols>
    <col min="1" max="1" width="11.7809523809524" customWidth="1"/>
    <col min="2" max="2" width="12.5809523809524" customWidth="1"/>
    <col min="3" max="3" width="19.1428571428571" customWidth="1"/>
    <col min="4" max="4" width="13.5238095238095" customWidth="1"/>
    <col min="5" max="5" width="14.8571428571429" customWidth="1"/>
    <col min="6" max="6" width="13.2571428571429" customWidth="1"/>
    <col min="8" max="8" width="23.8380952380952" customWidth="1"/>
  </cols>
  <sheetData>
    <row r="1" ht="23.25" spans="1:8">
      <c r="A1" s="41" t="s">
        <v>134</v>
      </c>
      <c r="B1" s="41"/>
      <c r="C1" s="41"/>
      <c r="D1" s="41"/>
      <c r="E1" s="41"/>
      <c r="F1" s="41"/>
      <c r="G1" s="41"/>
      <c r="H1" s="41"/>
    </row>
    <row r="2" ht="23.25" spans="1:8">
      <c r="A2" s="41" t="s">
        <v>135</v>
      </c>
      <c r="B2" s="41"/>
      <c r="C2" s="41"/>
      <c r="D2" s="41"/>
      <c r="E2" s="41"/>
      <c r="F2" s="41"/>
      <c r="G2" s="41"/>
      <c r="H2" s="41"/>
    </row>
    <row r="3" ht="23.25" spans="1:8">
      <c r="A3" s="42" t="s">
        <v>136</v>
      </c>
      <c r="B3" s="42"/>
      <c r="C3" s="42"/>
      <c r="D3" s="42"/>
      <c r="E3" s="42"/>
      <c r="F3" s="42"/>
      <c r="G3" s="42"/>
      <c r="H3" s="42"/>
    </row>
    <row r="4" ht="23.25" spans="1:8">
      <c r="A4" s="43" t="s">
        <v>137</v>
      </c>
      <c r="B4" s="43"/>
      <c r="C4" s="43"/>
      <c r="D4" s="43"/>
      <c r="E4" s="43"/>
      <c r="F4" s="43"/>
      <c r="G4" s="43"/>
      <c r="H4" s="43"/>
    </row>
    <row r="5" ht="15.75" spans="1:8">
      <c r="A5" s="44" t="s">
        <v>113</v>
      </c>
      <c r="B5" s="44" t="s">
        <v>63</v>
      </c>
      <c r="C5" s="44" t="s">
        <v>138</v>
      </c>
      <c r="D5" s="44" t="s">
        <v>139</v>
      </c>
      <c r="E5" s="44" t="s">
        <v>140</v>
      </c>
      <c r="F5" s="44" t="s">
        <v>141</v>
      </c>
      <c r="G5" s="44" t="s">
        <v>142</v>
      </c>
      <c r="H5" s="44" t="s">
        <v>66</v>
      </c>
    </row>
    <row r="6" ht="15.75" spans="1:8">
      <c r="A6" s="45" t="s">
        <v>29</v>
      </c>
      <c r="B6" s="46">
        <f>[1]Stok!B3</f>
        <v>7416</v>
      </c>
      <c r="C6" s="46">
        <f>Stok!C34</f>
        <v>30000</v>
      </c>
      <c r="D6" s="47" t="s">
        <v>143</v>
      </c>
      <c r="E6" s="47">
        <v>30685</v>
      </c>
      <c r="F6" s="48"/>
      <c r="G6" s="47">
        <f t="shared" ref="G6:G12" si="0">F6-E6</f>
        <v>-30685</v>
      </c>
      <c r="H6" s="46">
        <f>Stok!G33</f>
        <v>0</v>
      </c>
    </row>
    <row r="7" ht="15.75" spans="1:8">
      <c r="A7" s="45"/>
      <c r="B7" s="46"/>
      <c r="C7" s="46"/>
      <c r="D7" s="47" t="s">
        <v>144</v>
      </c>
      <c r="E7" s="47">
        <v>31872</v>
      </c>
      <c r="F7" s="48"/>
      <c r="G7" s="47">
        <f t="shared" si="0"/>
        <v>-31872</v>
      </c>
      <c r="H7" s="46"/>
    </row>
    <row r="8" ht="15.75" spans="1:8">
      <c r="A8" s="46" t="s">
        <v>145</v>
      </c>
      <c r="B8" s="46"/>
      <c r="C8" s="46"/>
      <c r="D8" s="46"/>
      <c r="E8" s="46"/>
      <c r="F8" s="46"/>
      <c r="G8" s="49">
        <f>SUM(G6:G7)</f>
        <v>-62557</v>
      </c>
      <c r="H8" s="50"/>
    </row>
    <row r="9" ht="15.75" spans="1:8">
      <c r="A9" s="51"/>
      <c r="B9" s="51"/>
      <c r="C9" s="51"/>
      <c r="D9" s="52"/>
      <c r="E9" s="52"/>
      <c r="F9" s="52"/>
      <c r="G9" s="52"/>
      <c r="H9" s="51"/>
    </row>
    <row r="10" ht="15.75" spans="1:8">
      <c r="A10" s="35"/>
      <c r="B10" s="35"/>
      <c r="C10" s="35"/>
      <c r="D10" s="35"/>
      <c r="E10" s="35"/>
      <c r="F10" s="35"/>
      <c r="G10" s="53"/>
      <c r="H10" s="54"/>
    </row>
    <row r="11" ht="15.75" spans="1:8">
      <c r="A11" s="55" t="s">
        <v>70</v>
      </c>
      <c r="B11" s="46">
        <f>[1]Stok!B36</f>
        <v>8106</v>
      </c>
      <c r="C11" s="46">
        <f>Stok!C68</f>
        <v>0</v>
      </c>
      <c r="D11" s="56" t="s">
        <v>143</v>
      </c>
      <c r="E11" s="47">
        <v>6601</v>
      </c>
      <c r="F11" s="47"/>
      <c r="G11" s="47">
        <f t="shared" si="0"/>
        <v>-6601</v>
      </c>
      <c r="H11" s="46">
        <f>Stok!G67</f>
        <v>0</v>
      </c>
    </row>
    <row r="12" ht="15.75" spans="1:8">
      <c r="A12" s="55"/>
      <c r="B12" s="46"/>
      <c r="C12" s="46"/>
      <c r="D12" s="56" t="s">
        <v>144</v>
      </c>
      <c r="E12" s="47">
        <v>6609</v>
      </c>
      <c r="F12" s="47"/>
      <c r="G12" s="47">
        <f t="shared" si="0"/>
        <v>-6609</v>
      </c>
      <c r="H12" s="46"/>
    </row>
    <row r="13" ht="15.75" spans="1:8">
      <c r="A13" s="46" t="s">
        <v>145</v>
      </c>
      <c r="B13" s="46"/>
      <c r="C13" s="46"/>
      <c r="D13" s="46"/>
      <c r="E13" s="46"/>
      <c r="F13" s="46"/>
      <c r="G13" s="49">
        <f>SUM(G11:G12)</f>
        <v>-13210</v>
      </c>
      <c r="H13" s="56"/>
    </row>
  </sheetData>
  <mergeCells count="14">
    <mergeCell ref="A1:H1"/>
    <mergeCell ref="A2:H2"/>
    <mergeCell ref="A3:H3"/>
    <mergeCell ref="A4:H4"/>
    <mergeCell ref="A8:F8"/>
    <mergeCell ref="A13:F13"/>
    <mergeCell ref="A6:A7"/>
    <mergeCell ref="A11:A12"/>
    <mergeCell ref="B6:B7"/>
    <mergeCell ref="B11:B12"/>
    <mergeCell ref="C6:C7"/>
    <mergeCell ref="C11:C12"/>
    <mergeCell ref="H6:H7"/>
    <mergeCell ref="H11:H12"/>
  </mergeCells>
  <pageMargins left="0.75" right="0.75" top="1" bottom="1" header="0.5" footer="0.5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1"/>
  <sheetViews>
    <sheetView tabSelected="1" view="pageLayout" zoomScaleNormal="100" workbookViewId="0">
      <selection activeCell="F35" sqref="F35"/>
    </sheetView>
  </sheetViews>
  <sheetFormatPr defaultColWidth="9.14285714285714" defaultRowHeight="15"/>
  <cols>
    <col min="1" max="1" width="18.8761904761905" customWidth="1"/>
    <col min="3" max="3" width="16.2857142857143"/>
    <col min="5" max="5" width="14.3238095238095" customWidth="1"/>
    <col min="7" max="7" width="12.3142857142857" customWidth="1"/>
    <col min="9" max="9" width="17.6761904761905" customWidth="1"/>
    <col min="10" max="10" width="16.8666666666667" customWidth="1"/>
  </cols>
  <sheetData>
    <row r="1" spans="1:10">
      <c r="A1" s="3" t="s">
        <v>146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14" t="s">
        <v>147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>
      <c r="A8" s="16" t="s">
        <v>72</v>
      </c>
      <c r="B8" s="15"/>
      <c r="C8" s="15"/>
      <c r="D8" s="15"/>
      <c r="E8" s="15"/>
      <c r="F8" s="15"/>
      <c r="G8" s="15"/>
      <c r="H8" s="15"/>
      <c r="I8" s="15"/>
      <c r="J8" s="15"/>
    </row>
    <row r="9" spans="1:10">
      <c r="A9" s="15" t="s">
        <v>148</v>
      </c>
      <c r="B9" s="15" t="s">
        <v>149</v>
      </c>
      <c r="C9" s="15" t="s">
        <v>150</v>
      </c>
      <c r="D9" s="15" t="s">
        <v>149</v>
      </c>
      <c r="E9" s="17">
        <v>0</v>
      </c>
      <c r="F9" s="18" t="s">
        <v>103</v>
      </c>
      <c r="G9" s="19">
        <f>E9+E10</f>
        <v>0</v>
      </c>
      <c r="H9" s="19"/>
      <c r="I9" s="19"/>
      <c r="J9" s="17"/>
    </row>
    <row r="10" spans="1:10">
      <c r="A10" s="15" t="s">
        <v>26</v>
      </c>
      <c r="B10" s="15" t="s">
        <v>149</v>
      </c>
      <c r="C10" s="15" t="s">
        <v>150</v>
      </c>
      <c r="D10" s="15" t="s">
        <v>149</v>
      </c>
      <c r="E10" s="17">
        <v>0</v>
      </c>
      <c r="F10" s="18" t="s">
        <v>103</v>
      </c>
      <c r="G10" s="19"/>
      <c r="H10" s="19"/>
      <c r="I10" s="19"/>
      <c r="J10" s="17"/>
    </row>
    <row r="11" spans="1:10">
      <c r="A11" s="15" t="s">
        <v>151</v>
      </c>
      <c r="B11" s="15" t="s">
        <v>149</v>
      </c>
      <c r="C11" s="15" t="s">
        <v>150</v>
      </c>
      <c r="D11" s="15" t="s">
        <v>149</v>
      </c>
      <c r="E11" s="17">
        <v>0</v>
      </c>
      <c r="F11" s="18" t="s">
        <v>103</v>
      </c>
      <c r="G11" s="17">
        <f>E11</f>
        <v>0</v>
      </c>
      <c r="H11" s="17"/>
      <c r="I11" s="17"/>
      <c r="J11" s="17"/>
    </row>
    <row r="12" spans="1:10">
      <c r="A12" s="15" t="s">
        <v>152</v>
      </c>
      <c r="B12" s="15" t="s">
        <v>149</v>
      </c>
      <c r="C12" s="15" t="s">
        <v>150</v>
      </c>
      <c r="D12" s="15" t="s">
        <v>149</v>
      </c>
      <c r="E12" s="17">
        <v>0</v>
      </c>
      <c r="F12" s="18" t="s">
        <v>103</v>
      </c>
      <c r="G12" s="20"/>
      <c r="H12" s="20"/>
      <c r="I12" s="20"/>
      <c r="J12" s="20"/>
    </row>
    <row r="13" spans="1:10">
      <c r="A13" s="15"/>
      <c r="B13" s="15"/>
      <c r="C13" s="15"/>
      <c r="D13" s="15"/>
      <c r="E13" s="18"/>
      <c r="F13" s="18"/>
      <c r="G13" s="17"/>
      <c r="H13" s="17"/>
      <c r="I13" s="17"/>
      <c r="J13" s="21">
        <f>SUM(G9:I11)</f>
        <v>0</v>
      </c>
    </row>
    <row r="14" spans="1:10">
      <c r="A14" s="16" t="s">
        <v>153</v>
      </c>
      <c r="B14" s="15"/>
      <c r="C14" s="15"/>
      <c r="D14" s="15"/>
      <c r="E14" s="18"/>
      <c r="F14" s="18"/>
      <c r="G14" s="17"/>
      <c r="H14" s="17"/>
      <c r="I14" s="17"/>
      <c r="J14" s="17"/>
    </row>
    <row r="15" spans="1:10">
      <c r="A15" s="15" t="s">
        <v>29</v>
      </c>
      <c r="B15" s="15" t="s">
        <v>149</v>
      </c>
      <c r="C15" s="22" t="s">
        <v>154</v>
      </c>
      <c r="D15" s="15" t="s">
        <v>149</v>
      </c>
      <c r="E15" s="18">
        <v>0</v>
      </c>
      <c r="F15" s="18" t="s">
        <v>119</v>
      </c>
      <c r="G15" s="17">
        <v>11600</v>
      </c>
      <c r="H15" s="17"/>
      <c r="I15" s="17">
        <f>E15*G15</f>
        <v>0</v>
      </c>
      <c r="J15" s="17"/>
    </row>
    <row r="16" spans="1:10">
      <c r="A16" s="15" t="s">
        <v>70</v>
      </c>
      <c r="B16" s="15" t="s">
        <v>149</v>
      </c>
      <c r="C16" s="22" t="s">
        <v>154</v>
      </c>
      <c r="D16" s="15" t="s">
        <v>149</v>
      </c>
      <c r="E16" s="18">
        <v>0</v>
      </c>
      <c r="F16" s="18" t="s">
        <v>119</v>
      </c>
      <c r="G16" s="17">
        <v>13900</v>
      </c>
      <c r="H16" s="17"/>
      <c r="I16" s="17">
        <f>E16*G16</f>
        <v>0</v>
      </c>
      <c r="J16" s="17"/>
    </row>
    <row r="17" spans="1:10">
      <c r="A17" s="15"/>
      <c r="B17" s="15"/>
      <c r="C17" s="15"/>
      <c r="D17" s="15"/>
      <c r="E17" s="18"/>
      <c r="F17" s="18"/>
      <c r="G17" s="17"/>
      <c r="H17" s="17"/>
      <c r="I17" s="17"/>
      <c r="J17" s="23">
        <f>SUM(I15:I18)</f>
        <v>0</v>
      </c>
    </row>
    <row r="18" spans="1:10">
      <c r="A18" s="15"/>
      <c r="B18" s="15"/>
      <c r="C18" s="15"/>
      <c r="D18" s="15"/>
      <c r="E18" s="18"/>
      <c r="F18" s="18"/>
      <c r="G18" s="17"/>
      <c r="H18" s="17"/>
      <c r="I18" s="17"/>
      <c r="J18" s="17"/>
    </row>
    <row r="19" spans="1:10">
      <c r="A19" s="15"/>
      <c r="B19" s="15"/>
      <c r="C19" s="15"/>
      <c r="D19" s="15"/>
      <c r="E19" s="18"/>
      <c r="F19" s="18"/>
      <c r="G19" s="17"/>
      <c r="H19" s="17"/>
      <c r="I19" s="17"/>
      <c r="J19" s="17"/>
    </row>
    <row r="20" spans="1:10">
      <c r="A20" s="15" t="s">
        <v>155</v>
      </c>
      <c r="B20" s="15"/>
      <c r="C20" s="15"/>
      <c r="D20" s="15"/>
      <c r="E20" s="18"/>
      <c r="F20" s="18"/>
      <c r="G20" s="17"/>
      <c r="H20" s="17"/>
      <c r="I20" s="17"/>
      <c r="J20" s="17"/>
    </row>
    <row r="21" spans="1:10">
      <c r="A21" s="15" t="s">
        <v>29</v>
      </c>
      <c r="B21" s="15" t="s">
        <v>149</v>
      </c>
      <c r="C21" s="15" t="s">
        <v>156</v>
      </c>
      <c r="D21" s="15"/>
      <c r="E21" s="18">
        <v>0</v>
      </c>
      <c r="F21" s="18" t="s">
        <v>119</v>
      </c>
      <c r="G21" s="17">
        <v>12200</v>
      </c>
      <c r="H21" s="17"/>
      <c r="I21" s="17">
        <f>E21*G21</f>
        <v>0</v>
      </c>
      <c r="J21" s="17"/>
    </row>
    <row r="22" spans="1:10">
      <c r="A22" s="15" t="s">
        <v>70</v>
      </c>
      <c r="B22" s="15" t="s">
        <v>149</v>
      </c>
      <c r="C22" s="15" t="s">
        <v>156</v>
      </c>
      <c r="D22" s="15"/>
      <c r="E22" s="18">
        <v>0</v>
      </c>
      <c r="F22" s="18" t="s">
        <v>119</v>
      </c>
      <c r="G22" s="17">
        <v>14500</v>
      </c>
      <c r="H22" s="17"/>
      <c r="I22" s="17">
        <f>E22*G22</f>
        <v>0</v>
      </c>
      <c r="J22" s="17"/>
    </row>
    <row r="23" spans="1:10">
      <c r="A23" s="15"/>
      <c r="B23" s="15"/>
      <c r="C23" s="15"/>
      <c r="D23" s="15"/>
      <c r="E23" s="18"/>
      <c r="F23" s="18"/>
      <c r="G23" s="17"/>
      <c r="H23" s="17"/>
      <c r="I23" s="17"/>
      <c r="J23" s="23">
        <f>SUM(I21:I24)</f>
        <v>0</v>
      </c>
    </row>
    <row r="24" spans="1:10">
      <c r="A24" s="15"/>
      <c r="B24" s="15"/>
      <c r="C24" s="15"/>
      <c r="D24" s="15"/>
      <c r="E24" s="18"/>
      <c r="F24" s="18"/>
      <c r="G24" s="17"/>
      <c r="H24" s="17"/>
      <c r="I24" s="17"/>
      <c r="J24" s="17"/>
    </row>
    <row r="25" spans="1:10">
      <c r="A25" s="15" t="s">
        <v>157</v>
      </c>
      <c r="B25" s="15"/>
      <c r="C25" s="15"/>
      <c r="D25" s="15"/>
      <c r="E25" s="18"/>
      <c r="F25" s="18"/>
      <c r="G25" s="17"/>
      <c r="H25" s="17"/>
      <c r="I25" s="17"/>
      <c r="J25" s="17"/>
    </row>
    <row r="26" spans="1:10">
      <c r="A26" s="15" t="s">
        <v>158</v>
      </c>
      <c r="B26" s="15" t="s">
        <v>149</v>
      </c>
      <c r="C26" s="15" t="s">
        <v>150</v>
      </c>
      <c r="D26" s="15" t="s">
        <v>149</v>
      </c>
      <c r="E26" s="17">
        <v>0</v>
      </c>
      <c r="F26" s="18"/>
      <c r="G26" s="17"/>
      <c r="H26" s="17"/>
      <c r="I26" s="17"/>
      <c r="J26" s="17"/>
    </row>
    <row r="27" spans="1:10">
      <c r="A27" s="15" t="s">
        <v>159</v>
      </c>
      <c r="B27" s="15" t="s">
        <v>149</v>
      </c>
      <c r="C27" s="15" t="s">
        <v>150</v>
      </c>
      <c r="D27" s="15" t="s">
        <v>149</v>
      </c>
      <c r="E27" s="17">
        <v>0</v>
      </c>
      <c r="F27" s="18"/>
      <c r="G27" s="17"/>
      <c r="H27" s="17"/>
      <c r="I27" s="17"/>
      <c r="J27" s="17"/>
    </row>
    <row r="28" spans="1:10">
      <c r="A28" s="15" t="s">
        <v>160</v>
      </c>
      <c r="B28" s="15"/>
      <c r="C28" s="15"/>
      <c r="D28" s="15"/>
      <c r="E28" s="18"/>
      <c r="F28" s="18"/>
      <c r="G28" s="17"/>
      <c r="H28" s="17"/>
      <c r="I28" s="17"/>
      <c r="J28" s="17">
        <v>7115200</v>
      </c>
    </row>
    <row r="29" spans="1:10">
      <c r="A29" s="15" t="s">
        <v>161</v>
      </c>
      <c r="B29" s="15"/>
      <c r="C29" s="15"/>
      <c r="D29" s="15"/>
      <c r="E29" s="24"/>
      <c r="F29" s="24"/>
      <c r="G29" s="25"/>
      <c r="H29" s="25"/>
      <c r="I29" s="25"/>
      <c r="J29" s="26">
        <v>1520000</v>
      </c>
    </row>
    <row r="30" spans="1:10">
      <c r="A30" s="15"/>
      <c r="B30" s="15"/>
      <c r="C30" s="15"/>
      <c r="D30" s="15"/>
      <c r="E30" s="27" t="s">
        <v>162</v>
      </c>
      <c r="F30" s="27"/>
      <c r="G30" s="27"/>
      <c r="H30" s="18" t="s">
        <v>149</v>
      </c>
      <c r="I30" s="18"/>
      <c r="J30" s="21">
        <f>J13+J17+J23+J28+J29</f>
        <v>8635200</v>
      </c>
    </row>
    <row r="31" spans="1:10">
      <c r="A31" s="15" t="s">
        <v>163</v>
      </c>
      <c r="B31" s="15"/>
      <c r="C31" s="15"/>
      <c r="D31" s="15"/>
      <c r="E31" s="13"/>
      <c r="F31" s="13"/>
      <c r="G31" s="13"/>
      <c r="H31" s="13"/>
      <c r="I31" s="13"/>
      <c r="J31" s="13"/>
    </row>
    <row r="32" spans="1:10">
      <c r="A32" s="15">
        <v>1</v>
      </c>
      <c r="B32" s="15" t="s">
        <v>149</v>
      </c>
      <c r="C32" s="28">
        <v>255000000</v>
      </c>
      <c r="D32" s="15"/>
      <c r="E32" s="13"/>
      <c r="F32" s="13"/>
      <c r="G32" s="13"/>
      <c r="H32" s="13"/>
      <c r="I32" s="13"/>
      <c r="J32" s="13"/>
    </row>
    <row r="33" spans="1:10">
      <c r="A33" s="15">
        <v>2</v>
      </c>
      <c r="B33" s="15" t="s">
        <v>149</v>
      </c>
      <c r="C33" s="28"/>
      <c r="D33" s="15"/>
      <c r="E33" s="29"/>
      <c r="F33" s="29"/>
      <c r="G33" s="29"/>
      <c r="H33" s="29"/>
      <c r="I33" s="29"/>
      <c r="J33" s="30"/>
    </row>
    <row r="34" spans="1:10">
      <c r="A34" s="15"/>
      <c r="B34" s="15"/>
      <c r="C34" s="31">
        <f>SUM(C32:C33)</f>
        <v>255000000</v>
      </c>
      <c r="D34" s="15"/>
      <c r="E34" s="32"/>
      <c r="F34" s="33"/>
      <c r="G34" s="33"/>
      <c r="H34" s="29"/>
      <c r="I34" s="29"/>
      <c r="J34" s="34"/>
    </row>
    <row r="35" spans="1:10">
      <c r="A35" s="15"/>
      <c r="B35" s="15"/>
      <c r="C35" s="15"/>
      <c r="D35" s="15"/>
      <c r="E35" s="35"/>
      <c r="F35" s="35"/>
      <c r="G35" s="35"/>
      <c r="H35" s="35"/>
      <c r="I35" s="35"/>
      <c r="J35" s="36"/>
    </row>
    <row r="36" spans="1:10">
      <c r="A36" s="15"/>
      <c r="B36" s="15"/>
      <c r="C36" s="15"/>
      <c r="D36" s="15"/>
      <c r="E36" s="13"/>
      <c r="F36" s="13"/>
      <c r="G36" s="13"/>
      <c r="H36" s="13"/>
      <c r="I36" s="13"/>
      <c r="J36" s="35"/>
    </row>
    <row r="37" spans="1:10">
      <c r="A37" s="16" t="s">
        <v>164</v>
      </c>
      <c r="B37" s="15"/>
      <c r="C37" s="15"/>
      <c r="D37" s="15"/>
      <c r="E37" s="18"/>
      <c r="F37" s="18"/>
      <c r="G37" s="18"/>
      <c r="H37" s="18"/>
      <c r="I37" s="18"/>
      <c r="J37" s="18"/>
    </row>
    <row r="38" spans="1:10">
      <c r="A38" s="15" t="str">
        <f>E30</f>
        <v>Jumlah Harta Lancar</v>
      </c>
      <c r="B38" s="15" t="s">
        <v>103</v>
      </c>
      <c r="C38" s="37">
        <f>C34</f>
        <v>255000000</v>
      </c>
      <c r="D38" s="15"/>
      <c r="E38" s="18"/>
      <c r="F38" s="18"/>
      <c r="G38" s="18"/>
      <c r="H38" s="18"/>
      <c r="I38" s="18"/>
      <c r="J38" s="18"/>
    </row>
    <row r="39" spans="1:10">
      <c r="A39" s="15" t="s">
        <v>165</v>
      </c>
      <c r="B39" s="15" t="s">
        <v>103</v>
      </c>
      <c r="C39" s="38">
        <v>1680000</v>
      </c>
      <c r="D39" s="15"/>
      <c r="E39" s="18"/>
      <c r="F39" s="18"/>
      <c r="G39" s="18"/>
      <c r="H39" s="18"/>
      <c r="I39" s="18"/>
      <c r="J39" s="18"/>
    </row>
    <row r="40" spans="1:10">
      <c r="A40" s="15" t="s">
        <v>166</v>
      </c>
      <c r="B40" s="15" t="s">
        <v>103</v>
      </c>
      <c r="C40" s="39">
        <f>J28</f>
        <v>7115200</v>
      </c>
      <c r="D40" s="15"/>
      <c r="E40" s="18"/>
      <c r="F40" s="18"/>
      <c r="G40" s="18"/>
      <c r="H40" s="18"/>
      <c r="I40" s="18"/>
      <c r="J40" s="18"/>
    </row>
    <row r="41" ht="15.75" spans="1:10">
      <c r="A41" s="22" t="s">
        <v>167</v>
      </c>
      <c r="B41" s="22"/>
      <c r="C41" s="40">
        <f>C38-C39-C40</f>
        <v>246204800</v>
      </c>
      <c r="D41" s="15"/>
      <c r="E41" s="18"/>
      <c r="F41" s="18"/>
      <c r="G41" s="18"/>
      <c r="H41" s="18"/>
      <c r="I41" s="18"/>
      <c r="J41" s="18"/>
    </row>
  </sheetData>
  <mergeCells count="4">
    <mergeCell ref="G11:I11"/>
    <mergeCell ref="G12:I12"/>
    <mergeCell ref="G9:I10"/>
    <mergeCell ref="A1:J6"/>
  </mergeCells>
  <pageMargins left="0.700694444444445" right="0.700694444444445" top="0.751388888888889" bottom="0.751388888888889" header="0.298611111111111" footer="0.298611111111111"/>
  <pageSetup paperSize="9" scale="82" orientation="landscape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4"/>
  <sheetViews>
    <sheetView view="pageLayout" zoomScaleNormal="100" workbookViewId="0">
      <selection activeCell="E19" sqref="E19"/>
    </sheetView>
  </sheetViews>
  <sheetFormatPr defaultColWidth="9.14285714285714" defaultRowHeight="15" outlineLevelCol="5"/>
  <cols>
    <col min="2" max="2" width="20.752380952381" customWidth="1"/>
    <col min="3" max="3" width="16.0666666666667" customWidth="1"/>
    <col min="4" max="4" width="12.8571428571429" customWidth="1"/>
    <col min="5" max="5" width="22.0952380952381" customWidth="1"/>
    <col min="6" max="6" width="17.5428571428571" customWidth="1"/>
  </cols>
  <sheetData>
    <row r="1" spans="1:6">
      <c r="A1" s="3" t="s">
        <v>168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ht="18.75" spans="1:6">
      <c r="A7" s="4" t="s">
        <v>169</v>
      </c>
      <c r="B7" s="4" t="s">
        <v>170</v>
      </c>
      <c r="C7" s="5" t="s">
        <v>171</v>
      </c>
      <c r="D7" s="4" t="s">
        <v>172</v>
      </c>
      <c r="E7" s="4" t="s">
        <v>173</v>
      </c>
      <c r="F7" s="4" t="s">
        <v>174</v>
      </c>
    </row>
    <row r="8" ht="18.75" spans="1:6">
      <c r="A8" s="6" t="s">
        <v>175</v>
      </c>
      <c r="B8" s="7">
        <v>2000000</v>
      </c>
      <c r="C8" s="8"/>
      <c r="D8" s="7"/>
      <c r="E8" s="7">
        <f t="shared" ref="E8:E13" si="0">B8+C8-D8</f>
        <v>2000000</v>
      </c>
      <c r="F8" s="9"/>
    </row>
    <row r="9" ht="18.75" spans="1:6">
      <c r="A9" s="6" t="s">
        <v>176</v>
      </c>
      <c r="B9" s="7">
        <v>1500000</v>
      </c>
      <c r="C9" s="8"/>
      <c r="D9" s="7"/>
      <c r="E9" s="7">
        <f t="shared" si="0"/>
        <v>1500000</v>
      </c>
      <c r="F9" s="9"/>
    </row>
    <row r="10" ht="18.75" spans="1:6">
      <c r="A10" s="6" t="s">
        <v>33</v>
      </c>
      <c r="B10" s="7">
        <v>1350000</v>
      </c>
      <c r="C10" s="8"/>
      <c r="D10" s="7"/>
      <c r="E10" s="7">
        <f t="shared" si="0"/>
        <v>1350000</v>
      </c>
      <c r="F10" s="9"/>
    </row>
    <row r="11" ht="18.75" spans="1:6">
      <c r="A11" s="6" t="s">
        <v>7</v>
      </c>
      <c r="B11" s="7">
        <v>1200000</v>
      </c>
      <c r="C11" s="8"/>
      <c r="D11" s="7"/>
      <c r="E11" s="7">
        <f t="shared" si="0"/>
        <v>1200000</v>
      </c>
      <c r="F11" s="9"/>
    </row>
    <row r="12" ht="18.75" spans="1:6">
      <c r="A12" s="6" t="s">
        <v>10</v>
      </c>
      <c r="B12" s="7">
        <v>1200000</v>
      </c>
      <c r="C12" s="8"/>
      <c r="D12" s="7"/>
      <c r="E12" s="7">
        <f t="shared" si="0"/>
        <v>1200000</v>
      </c>
      <c r="F12" s="9"/>
    </row>
    <row r="13" ht="18.75" spans="1:6">
      <c r="A13" s="10" t="s">
        <v>16</v>
      </c>
      <c r="B13" s="11">
        <f>SUM(B8:B12)</f>
        <v>7250000</v>
      </c>
      <c r="C13" s="8"/>
      <c r="D13" s="11"/>
      <c r="E13" s="11">
        <f t="shared" si="0"/>
        <v>7250000</v>
      </c>
      <c r="F13" s="12"/>
    </row>
    <row r="14" spans="1:6">
      <c r="A14" s="13"/>
      <c r="B14" s="13"/>
      <c r="C14" s="13"/>
      <c r="D14" s="13"/>
      <c r="E14" s="13"/>
    </row>
    <row r="15" spans="1:6">
      <c r="A15" s="13"/>
      <c r="B15" s="13"/>
      <c r="C15" s="13"/>
      <c r="D15" s="13"/>
      <c r="E15" s="13"/>
    </row>
    <row r="16" spans="1:6">
      <c r="A16" s="13"/>
      <c r="B16" s="13"/>
      <c r="C16" s="13"/>
      <c r="D16" s="13"/>
      <c r="E16" s="13"/>
    </row>
    <row r="17" spans="1:5">
      <c r="A17" s="13"/>
      <c r="B17" s="13"/>
      <c r="C17" s="13"/>
      <c r="D17" s="13"/>
      <c r="E17" s="13"/>
    </row>
    <row r="18" spans="1:5">
      <c r="A18" s="13"/>
      <c r="B18" s="13"/>
      <c r="C18" s="13"/>
      <c r="D18" s="13"/>
      <c r="E18" s="13"/>
    </row>
    <row r="19" spans="1:5">
      <c r="A19" s="13"/>
      <c r="B19" s="13"/>
      <c r="C19" s="13"/>
      <c r="D19" s="13"/>
      <c r="E19" s="13"/>
    </row>
    <row r="20" spans="1:5">
      <c r="A20" s="13"/>
      <c r="B20" s="13"/>
      <c r="C20" s="13"/>
      <c r="D20" s="13"/>
      <c r="E20" s="13"/>
    </row>
    <row r="21" spans="1:5">
      <c r="A21" s="13"/>
      <c r="B21" s="13"/>
      <c r="C21" s="13"/>
      <c r="D21" s="13"/>
      <c r="E21" s="13"/>
    </row>
    <row r="22" spans="1:5">
      <c r="A22" s="13"/>
      <c r="B22" s="13"/>
      <c r="C22" s="13"/>
      <c r="D22" s="13"/>
      <c r="E22" s="13"/>
    </row>
    <row r="23" spans="1:5">
      <c r="A23" s="13"/>
      <c r="B23" s="13"/>
      <c r="C23" s="13"/>
      <c r="D23" s="13"/>
      <c r="E23" s="13"/>
    </row>
    <row r="24" spans="1:5">
      <c r="A24" s="13"/>
      <c r="B24" s="13"/>
      <c r="C24" s="13"/>
      <c r="D24" s="13"/>
      <c r="E24" s="13"/>
    </row>
  </sheetData>
  <mergeCells count="1">
    <mergeCell ref="A1:F6"/>
  </mergeCells>
  <pageMargins left="0.75" right="0.75" top="1" bottom="1" header="0.5" footer="0.5"/>
  <pageSetup paperSize="1" scale="9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55"/>
  <sheetViews>
    <sheetView workbookViewId="0">
      <selection activeCell="J25" sqref="J25"/>
    </sheetView>
  </sheetViews>
  <sheetFormatPr defaultColWidth="9.14285714285714" defaultRowHeight="15" outlineLevelCol="7"/>
  <cols>
    <col min="3" max="3" width="14.2857142857143"/>
    <col min="4" max="4" width="20.2857142857143" customWidth="1"/>
    <col min="7" max="7" width="10.4285714285714" customWidth="1"/>
    <col min="8" max="8" width="11.4285714285714"/>
  </cols>
  <sheetData>
    <row r="3" spans="2:8">
      <c r="B3" t="s">
        <v>87</v>
      </c>
      <c r="G3" t="s">
        <v>177</v>
      </c>
      <c r="H3" s="1">
        <v>24400</v>
      </c>
    </row>
    <row r="4" spans="2:8">
      <c r="B4" t="s">
        <v>178</v>
      </c>
      <c r="C4" s="1">
        <v>100000</v>
      </c>
      <c r="D4" t="s">
        <v>179</v>
      </c>
      <c r="G4" t="s">
        <v>10</v>
      </c>
      <c r="H4" s="1">
        <v>24400</v>
      </c>
    </row>
    <row r="5" spans="2:8">
      <c r="B5" t="s">
        <v>178</v>
      </c>
      <c r="C5" s="1">
        <v>24400</v>
      </c>
      <c r="D5" t="s">
        <v>180</v>
      </c>
      <c r="G5" t="s">
        <v>7</v>
      </c>
      <c r="H5" s="1">
        <v>24400</v>
      </c>
    </row>
    <row r="6" spans="2:8">
      <c r="B6" t="s">
        <v>178</v>
      </c>
      <c r="C6" s="1">
        <v>24400</v>
      </c>
      <c r="D6" t="s">
        <v>181</v>
      </c>
      <c r="G6" t="s">
        <v>182</v>
      </c>
      <c r="H6" s="1">
        <v>24400</v>
      </c>
    </row>
    <row r="7" spans="2:8">
      <c r="B7" t="s">
        <v>178</v>
      </c>
      <c r="C7" s="1">
        <v>23058</v>
      </c>
      <c r="G7" t="s">
        <v>183</v>
      </c>
      <c r="H7" s="2">
        <v>22570</v>
      </c>
    </row>
    <row r="8" spans="2:8">
      <c r="C8" s="1">
        <v>24400</v>
      </c>
      <c r="G8" t="s">
        <v>184</v>
      </c>
      <c r="H8" s="1">
        <v>24400</v>
      </c>
    </row>
    <row r="9" spans="2:8">
      <c r="C9" s="1">
        <v>24400</v>
      </c>
      <c r="G9" t="s">
        <v>185</v>
      </c>
      <c r="H9" s="1">
        <v>24400</v>
      </c>
    </row>
    <row r="10" spans="2:8">
      <c r="C10" s="1">
        <v>50000</v>
      </c>
      <c r="D10" t="s">
        <v>186</v>
      </c>
      <c r="H10" s="2">
        <f>SUM(H3:H9)</f>
        <v>168970</v>
      </c>
    </row>
    <row r="11" spans="2:8">
      <c r="C11" s="1">
        <v>50000</v>
      </c>
      <c r="D11" t="s">
        <v>187</v>
      </c>
    </row>
    <row r="12" spans="2:8">
      <c r="C12" s="1">
        <v>24400</v>
      </c>
      <c r="D12" t="s">
        <v>188</v>
      </c>
    </row>
    <row r="13" spans="2:8">
      <c r="C13" s="1">
        <v>24400</v>
      </c>
      <c r="D13" t="s">
        <v>189</v>
      </c>
    </row>
    <row r="14" spans="2:8">
      <c r="C14" s="1">
        <v>24400</v>
      </c>
      <c r="D14" t="s">
        <v>190</v>
      </c>
    </row>
    <row r="15" spans="2:8">
      <c r="C15" s="1">
        <v>24400</v>
      </c>
      <c r="D15" t="s">
        <v>191</v>
      </c>
    </row>
    <row r="16" spans="2:8">
      <c r="C16" s="1">
        <v>24400</v>
      </c>
      <c r="D16" t="s">
        <v>192</v>
      </c>
    </row>
    <row r="17" spans="3:4">
      <c r="C17" s="1">
        <v>24400</v>
      </c>
      <c r="D17" t="s">
        <v>193</v>
      </c>
    </row>
    <row r="18" spans="3:4">
      <c r="C18" s="1">
        <v>50000</v>
      </c>
      <c r="D18" t="s">
        <v>194</v>
      </c>
    </row>
    <row r="19" spans="3:4">
      <c r="C19" s="1">
        <v>24400</v>
      </c>
      <c r="D19" t="s">
        <v>195</v>
      </c>
    </row>
    <row r="20" spans="3:4">
      <c r="C20" s="1">
        <v>24400</v>
      </c>
      <c r="D20" t="s">
        <v>196</v>
      </c>
    </row>
    <row r="21" spans="3:4">
      <c r="C21" s="1">
        <v>24400</v>
      </c>
      <c r="D21" t="s">
        <v>197</v>
      </c>
    </row>
    <row r="22" spans="3:4">
      <c r="C22" s="1">
        <v>24400</v>
      </c>
      <c r="D22" t="s">
        <v>198</v>
      </c>
    </row>
    <row r="23" spans="3:4">
      <c r="C23" s="1">
        <v>24400</v>
      </c>
      <c r="D23" t="s">
        <v>199</v>
      </c>
    </row>
    <row r="24" spans="3:4">
      <c r="C24" s="1">
        <v>24400</v>
      </c>
      <c r="D24" t="s">
        <v>200</v>
      </c>
    </row>
    <row r="25" spans="3:4">
      <c r="C25" s="1">
        <v>24400</v>
      </c>
      <c r="D25" t="s">
        <v>201</v>
      </c>
    </row>
    <row r="26" spans="3:4">
      <c r="C26" s="1">
        <v>24400</v>
      </c>
      <c r="D26" t="s">
        <v>202</v>
      </c>
    </row>
    <row r="27" spans="3:4">
      <c r="C27" s="1">
        <v>24400</v>
      </c>
      <c r="D27" t="s">
        <v>203</v>
      </c>
    </row>
    <row r="28" spans="3:4">
      <c r="C28" s="1">
        <v>24400</v>
      </c>
      <c r="D28" t="s">
        <v>204</v>
      </c>
    </row>
    <row r="29" spans="3:4">
      <c r="C29" s="1">
        <v>300000</v>
      </c>
      <c r="D29" t="s">
        <v>205</v>
      </c>
    </row>
    <row r="30" spans="3:4">
      <c r="C30" s="1">
        <v>24400</v>
      </c>
      <c r="D30" t="s">
        <v>206</v>
      </c>
    </row>
    <row r="31" spans="3:4">
      <c r="C31" s="1">
        <v>24400</v>
      </c>
      <c r="D31" t="s">
        <v>207</v>
      </c>
    </row>
    <row r="32" spans="3:4">
      <c r="C32" s="1">
        <v>24400</v>
      </c>
      <c r="D32" t="s">
        <v>208</v>
      </c>
    </row>
    <row r="33" spans="3:4">
      <c r="C33" s="1">
        <v>50000</v>
      </c>
      <c r="D33" t="s">
        <v>209</v>
      </c>
    </row>
    <row r="34" spans="3:4">
      <c r="C34" s="1">
        <v>50000</v>
      </c>
      <c r="D34" t="s">
        <v>210</v>
      </c>
    </row>
    <row r="35" spans="3:4">
      <c r="C35" s="1">
        <v>24400</v>
      </c>
      <c r="D35" t="s">
        <v>211</v>
      </c>
    </row>
    <row r="36" spans="3:4">
      <c r="C36" s="1">
        <v>24400</v>
      </c>
      <c r="D36" t="s">
        <v>212</v>
      </c>
    </row>
    <row r="37" spans="3:4">
      <c r="C37" s="1">
        <v>24400</v>
      </c>
      <c r="D37" t="s">
        <v>213</v>
      </c>
    </row>
    <row r="38" spans="3:4">
      <c r="C38" s="1">
        <v>24400</v>
      </c>
      <c r="D38" t="s">
        <v>214</v>
      </c>
    </row>
    <row r="39" spans="3:4">
      <c r="C39" s="1">
        <v>24400</v>
      </c>
      <c r="D39" t="s">
        <v>215</v>
      </c>
    </row>
    <row r="40" spans="3:4">
      <c r="C40" s="1">
        <v>24400</v>
      </c>
      <c r="D40" t="s">
        <v>216</v>
      </c>
    </row>
    <row r="41" spans="3:4">
      <c r="C41" s="1">
        <v>24400</v>
      </c>
      <c r="D41" t="s">
        <v>217</v>
      </c>
    </row>
    <row r="42" spans="3:4">
      <c r="C42" s="1">
        <v>24400</v>
      </c>
      <c r="D42" t="s">
        <v>218</v>
      </c>
    </row>
    <row r="43" spans="3:4">
      <c r="C43" s="1">
        <v>24400</v>
      </c>
      <c r="D43" t="s">
        <v>219</v>
      </c>
    </row>
    <row r="44" spans="3:4">
      <c r="C44" s="1">
        <v>24400</v>
      </c>
      <c r="D44" t="s">
        <v>220</v>
      </c>
    </row>
    <row r="45" spans="3:4">
      <c r="C45" s="1">
        <v>50000</v>
      </c>
      <c r="D45" t="s">
        <v>221</v>
      </c>
    </row>
    <row r="46" spans="3:4">
      <c r="C46" s="1">
        <v>50000</v>
      </c>
      <c r="D46" t="s">
        <v>222</v>
      </c>
    </row>
    <row r="47" spans="3:4">
      <c r="C47" s="1">
        <v>24400</v>
      </c>
      <c r="D47" t="s">
        <v>223</v>
      </c>
    </row>
    <row r="48" spans="3:4">
      <c r="C48" s="1">
        <v>50000</v>
      </c>
      <c r="D48" t="s">
        <v>224</v>
      </c>
    </row>
    <row r="49" spans="3:4">
      <c r="C49" s="1">
        <v>24400</v>
      </c>
      <c r="D49" t="s">
        <v>225</v>
      </c>
    </row>
    <row r="50" spans="3:4">
      <c r="C50" s="1">
        <v>24400</v>
      </c>
      <c r="D50" t="s">
        <v>226</v>
      </c>
    </row>
    <row r="51" spans="3:4">
      <c r="C51" s="1">
        <v>24400</v>
      </c>
      <c r="D51" t="s">
        <v>227</v>
      </c>
    </row>
    <row r="52" spans="3:4">
      <c r="C52" s="1">
        <v>50000</v>
      </c>
      <c r="D52" t="s">
        <v>228</v>
      </c>
    </row>
    <row r="53" spans="3:4">
      <c r="C53" s="1">
        <v>24400</v>
      </c>
      <c r="D53" t="s">
        <v>229</v>
      </c>
    </row>
    <row r="54" spans="3:4">
      <c r="C54" s="1">
        <v>24400</v>
      </c>
      <c r="D54" t="s">
        <v>230</v>
      </c>
    </row>
    <row r="55" spans="3:4">
      <c r="C55" s="1">
        <f>SUM(C4:C54)</f>
        <v>1824658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Harian</vt:lpstr>
      <vt:lpstr>Stok</vt:lpstr>
      <vt:lpstr>Kas</vt:lpstr>
      <vt:lpstr>Pengeluaran</vt:lpstr>
      <vt:lpstr>losis</vt:lpstr>
      <vt:lpstr>TOT Akhir</vt:lpstr>
      <vt:lpstr>EDC</vt:lpstr>
      <vt:lpstr>Kesimpulan</vt:lpstr>
      <vt:lpstr>Neraca</vt:lpstr>
      <vt:lpstr>Gaji</vt:lpstr>
      <vt:lpstr>Voucher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SPBU CINEAM</dc:creator>
  <cp:lastModifiedBy>PT Leady</cp:lastModifiedBy>
  <dcterms:created xsi:type="dcterms:W3CDTF">2025-11-24T03:31:00Z</dcterms:created>
  <dcterms:modified xsi:type="dcterms:W3CDTF">2026-03-28T04:31:41Z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5A291529AC184B7E836FFB4BFC43289C_12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